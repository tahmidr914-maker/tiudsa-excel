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0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TY1PEPF0000138C\EXCELCNV\edf81a3b-e374-4f16-b20b-5ca5e9dd6d75\"/>
    </mc:Choice>
  </mc:AlternateContent>
  <xr:revisionPtr revIDLastSave="0" documentId="8_{7FBB998B-FB18-47D7-9A39-D648BAA04359}" xr6:coauthVersionLast="47" xr6:coauthVersionMax="47" xr10:uidLastSave="{00000000-0000-0000-0000-000000000000}"/>
  <bookViews>
    <workbookView xWindow="-60" yWindow="-60" windowWidth="15480" windowHeight="11640" xr2:uid="{B5899BB2-7953-4F35-85A1-FF329CC839F4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R3" i="1" l="1"/>
  <c r="AR4" i="1"/>
  <c r="AR5" i="1"/>
  <c r="AR6" i="1"/>
  <c r="AR7" i="1"/>
  <c r="AR8" i="1"/>
  <c r="AR9" i="1"/>
  <c r="AR10" i="1"/>
  <c r="AR11" i="1"/>
  <c r="AR12" i="1"/>
  <c r="AR13" i="1"/>
  <c r="AR14" i="1"/>
  <c r="AR15" i="1"/>
  <c r="AR16" i="1"/>
  <c r="AR17" i="1"/>
  <c r="AR18" i="1"/>
  <c r="AR19" i="1"/>
  <c r="AR20" i="1"/>
  <c r="AR21" i="1"/>
  <c r="AR22" i="1"/>
  <c r="AR23" i="1"/>
  <c r="AR24" i="1"/>
  <c r="AR25" i="1"/>
  <c r="AR26" i="1"/>
  <c r="AR27" i="1"/>
  <c r="AR28" i="1"/>
  <c r="AR29" i="1"/>
  <c r="AR30" i="1"/>
  <c r="AR31" i="1"/>
  <c r="AR32" i="1"/>
  <c r="AR33" i="1"/>
  <c r="AR34" i="1"/>
  <c r="AR35" i="1"/>
  <c r="AR36" i="1"/>
  <c r="AR37" i="1"/>
  <c r="AR38" i="1"/>
  <c r="AR39" i="1"/>
  <c r="AR40" i="1"/>
  <c r="AR41" i="1"/>
  <c r="AR42" i="1"/>
  <c r="AR43" i="1"/>
  <c r="AR44" i="1"/>
  <c r="AR45" i="1"/>
  <c r="AR46" i="1"/>
  <c r="AR47" i="1"/>
  <c r="AR48" i="1"/>
  <c r="AR49" i="1"/>
  <c r="AR50" i="1"/>
  <c r="AR2" i="1"/>
  <c r="AQ3" i="1"/>
  <c r="AS3" i="1" s="1"/>
  <c r="AQ4" i="1"/>
  <c r="AS4" i="1" s="1"/>
  <c r="AQ5" i="1"/>
  <c r="AS5" i="1" s="1"/>
  <c r="AQ6" i="1"/>
  <c r="AS6" i="1" s="1"/>
  <c r="AQ7" i="1"/>
  <c r="AS7" i="1" s="1"/>
  <c r="AQ8" i="1"/>
  <c r="AS8" i="1" s="1"/>
  <c r="AQ9" i="1"/>
  <c r="AS9" i="1" s="1"/>
  <c r="AQ10" i="1"/>
  <c r="AS10" i="1" s="1"/>
  <c r="AQ11" i="1"/>
  <c r="AS11" i="1" s="1"/>
  <c r="AQ12" i="1"/>
  <c r="AS12" i="1" s="1"/>
  <c r="AQ13" i="1"/>
  <c r="AS13" i="1" s="1"/>
  <c r="AQ14" i="1"/>
  <c r="AS14" i="1" s="1"/>
  <c r="AQ15" i="1"/>
  <c r="AS15" i="1" s="1"/>
  <c r="AQ16" i="1"/>
  <c r="AS16" i="1" s="1"/>
  <c r="AQ17" i="1"/>
  <c r="AS17" i="1" s="1"/>
  <c r="AQ18" i="1"/>
  <c r="AS18" i="1" s="1"/>
  <c r="AQ19" i="1"/>
  <c r="AS19" i="1" s="1"/>
  <c r="AQ20" i="1"/>
  <c r="AS20" i="1" s="1"/>
  <c r="AQ21" i="1"/>
  <c r="AS21" i="1" s="1"/>
  <c r="AQ22" i="1"/>
  <c r="AS22" i="1" s="1"/>
  <c r="AQ23" i="1"/>
  <c r="AS23" i="1" s="1"/>
  <c r="AQ24" i="1"/>
  <c r="AS24" i="1" s="1"/>
  <c r="AQ25" i="1"/>
  <c r="AS25" i="1" s="1"/>
  <c r="AQ26" i="1"/>
  <c r="AS26" i="1" s="1"/>
  <c r="AQ27" i="1"/>
  <c r="AS27" i="1" s="1"/>
  <c r="AQ28" i="1"/>
  <c r="AS28" i="1" s="1"/>
  <c r="AQ29" i="1"/>
  <c r="AS29" i="1" s="1"/>
  <c r="AQ30" i="1"/>
  <c r="AS30" i="1" s="1"/>
  <c r="AQ31" i="1"/>
  <c r="AS31" i="1" s="1"/>
  <c r="AQ32" i="1"/>
  <c r="AS32" i="1" s="1"/>
  <c r="AQ33" i="1"/>
  <c r="AS33" i="1" s="1"/>
  <c r="AQ34" i="1"/>
  <c r="AS34" i="1" s="1"/>
  <c r="AQ35" i="1"/>
  <c r="AS35" i="1" s="1"/>
  <c r="AQ36" i="1"/>
  <c r="AS36" i="1" s="1"/>
  <c r="AQ37" i="1"/>
  <c r="AS37" i="1" s="1"/>
  <c r="AQ38" i="1"/>
  <c r="AS38" i="1" s="1"/>
  <c r="AQ39" i="1"/>
  <c r="AS39" i="1" s="1"/>
  <c r="AQ40" i="1"/>
  <c r="AS40" i="1" s="1"/>
  <c r="AQ41" i="1"/>
  <c r="AS41" i="1" s="1"/>
  <c r="AQ42" i="1"/>
  <c r="AS42" i="1" s="1"/>
  <c r="AQ43" i="1"/>
  <c r="AS43" i="1" s="1"/>
  <c r="AQ44" i="1"/>
  <c r="AS44" i="1" s="1"/>
  <c r="AQ45" i="1"/>
  <c r="AS45" i="1" s="1"/>
  <c r="AQ46" i="1"/>
  <c r="AS46" i="1" s="1"/>
  <c r="AQ47" i="1"/>
  <c r="AS47" i="1" s="1"/>
  <c r="AQ48" i="1"/>
  <c r="AS48" i="1" s="1"/>
  <c r="AQ49" i="1"/>
  <c r="AS49" i="1" s="1"/>
  <c r="AQ50" i="1"/>
  <c r="AS50" i="1" s="1"/>
  <c r="AQ2" i="1"/>
  <c r="AS2" i="1" s="1"/>
  <c r="AP3" i="1"/>
  <c r="AP4" i="1"/>
  <c r="AP5" i="1"/>
  <c r="AP6" i="1"/>
  <c r="AP7" i="1"/>
  <c r="AP8" i="1"/>
  <c r="AP9" i="1"/>
  <c r="AP10" i="1"/>
  <c r="AP11" i="1"/>
  <c r="AP12" i="1"/>
  <c r="AP13" i="1"/>
  <c r="AP14" i="1"/>
  <c r="AP15" i="1"/>
  <c r="AP16" i="1"/>
  <c r="AP17" i="1"/>
  <c r="AP18" i="1"/>
  <c r="AP19" i="1"/>
  <c r="AP20" i="1"/>
  <c r="AP21" i="1"/>
  <c r="AP22" i="1"/>
  <c r="AP23" i="1"/>
  <c r="AP24" i="1"/>
  <c r="AP25" i="1"/>
  <c r="AP26" i="1"/>
  <c r="AP27" i="1"/>
  <c r="AP28" i="1"/>
  <c r="AP29" i="1"/>
  <c r="AP30" i="1"/>
  <c r="AP31" i="1"/>
  <c r="AP32" i="1"/>
  <c r="AP33" i="1"/>
  <c r="AP34" i="1"/>
  <c r="AP35" i="1"/>
  <c r="AP36" i="1"/>
  <c r="AP37" i="1"/>
  <c r="AP38" i="1"/>
  <c r="AP39" i="1"/>
  <c r="AP40" i="1"/>
  <c r="AP41" i="1"/>
  <c r="AP42" i="1"/>
  <c r="AP43" i="1"/>
  <c r="AP44" i="1"/>
  <c r="AP45" i="1"/>
  <c r="AP46" i="1"/>
  <c r="AP47" i="1"/>
  <c r="AP48" i="1"/>
  <c r="AP49" i="1"/>
  <c r="AP50" i="1"/>
  <c r="AP2" i="1"/>
  <c r="AO3" i="1"/>
  <c r="AO4" i="1"/>
  <c r="AO5" i="1"/>
  <c r="AO6" i="1"/>
  <c r="AO7" i="1"/>
  <c r="AO8" i="1"/>
  <c r="AO9" i="1"/>
  <c r="AO10" i="1"/>
  <c r="AO11" i="1"/>
  <c r="AO12" i="1"/>
  <c r="AO13" i="1"/>
  <c r="AO14" i="1"/>
  <c r="AO15" i="1"/>
  <c r="AO16" i="1"/>
  <c r="AO17" i="1"/>
  <c r="AO18" i="1"/>
  <c r="AO19" i="1"/>
  <c r="AO20" i="1"/>
  <c r="AO21" i="1"/>
  <c r="AO22" i="1"/>
  <c r="AO23" i="1"/>
  <c r="AO24" i="1"/>
  <c r="AO25" i="1"/>
  <c r="AO26" i="1"/>
  <c r="AO27" i="1"/>
  <c r="AO28" i="1"/>
  <c r="AO29" i="1"/>
  <c r="AO30" i="1"/>
  <c r="AO31" i="1"/>
  <c r="AO32" i="1"/>
  <c r="AO33" i="1"/>
  <c r="AO34" i="1"/>
  <c r="AO35" i="1"/>
  <c r="AO36" i="1"/>
  <c r="AO37" i="1"/>
  <c r="AO38" i="1"/>
  <c r="AO39" i="1"/>
  <c r="AO40" i="1"/>
  <c r="AO41" i="1"/>
  <c r="AO42" i="1"/>
  <c r="AO43" i="1"/>
  <c r="AO44" i="1"/>
  <c r="AO45" i="1"/>
  <c r="AO46" i="1"/>
  <c r="AO47" i="1"/>
  <c r="AO48" i="1"/>
  <c r="AO49" i="1"/>
  <c r="AO50" i="1"/>
  <c r="AO2" i="1"/>
  <c r="W106" i="1"/>
  <c r="W107" i="1"/>
  <c r="W108" i="1"/>
  <c r="W109" i="1"/>
  <c r="W110" i="1"/>
  <c r="W111" i="1"/>
  <c r="W112" i="1"/>
  <c r="W113" i="1"/>
  <c r="W114" i="1"/>
  <c r="W115" i="1"/>
  <c r="W116" i="1"/>
  <c r="W117" i="1"/>
  <c r="W118" i="1"/>
  <c r="W119" i="1"/>
  <c r="W120" i="1"/>
  <c r="W121" i="1"/>
  <c r="W122" i="1"/>
  <c r="W123" i="1"/>
  <c r="W124" i="1"/>
  <c r="W125" i="1"/>
  <c r="W126" i="1"/>
  <c r="W127" i="1"/>
  <c r="W128" i="1"/>
  <c r="W129" i="1"/>
  <c r="W130" i="1"/>
  <c r="W131" i="1"/>
  <c r="W132" i="1"/>
  <c r="W133" i="1"/>
  <c r="W134" i="1"/>
  <c r="W135" i="1"/>
  <c r="W136" i="1"/>
  <c r="W137" i="1"/>
  <c r="W138" i="1"/>
  <c r="W139" i="1"/>
  <c r="W140" i="1"/>
  <c r="W141" i="1"/>
  <c r="W142" i="1"/>
  <c r="W143" i="1"/>
  <c r="W144" i="1"/>
  <c r="W145" i="1"/>
  <c r="W146" i="1"/>
  <c r="W147" i="1"/>
  <c r="W148" i="1"/>
  <c r="W3" i="1"/>
  <c r="W4" i="1"/>
  <c r="W5" i="1"/>
  <c r="W6" i="1"/>
  <c r="W7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39" i="1"/>
  <c r="W40" i="1"/>
  <c r="W41" i="1"/>
  <c r="W42" i="1"/>
  <c r="W43" i="1"/>
  <c r="W44" i="1"/>
  <c r="W45" i="1"/>
  <c r="W46" i="1"/>
  <c r="W47" i="1"/>
  <c r="W48" i="1"/>
  <c r="W49" i="1"/>
  <c r="W50" i="1"/>
  <c r="W51" i="1"/>
  <c r="W52" i="1"/>
  <c r="W53" i="1"/>
  <c r="W54" i="1"/>
  <c r="W55" i="1"/>
  <c r="W56" i="1"/>
  <c r="W57" i="1"/>
  <c r="W58" i="1"/>
  <c r="W59" i="1"/>
  <c r="W60" i="1"/>
  <c r="W61" i="1"/>
  <c r="W62" i="1"/>
  <c r="W63" i="1"/>
  <c r="W64" i="1"/>
  <c r="W65" i="1"/>
  <c r="W66" i="1"/>
  <c r="W67" i="1"/>
  <c r="W68" i="1"/>
  <c r="W69" i="1"/>
  <c r="W70" i="1"/>
  <c r="W71" i="1"/>
  <c r="W72" i="1"/>
  <c r="W73" i="1"/>
  <c r="W74" i="1"/>
  <c r="W75" i="1"/>
  <c r="W76" i="1"/>
  <c r="W77" i="1"/>
  <c r="W78" i="1"/>
  <c r="W79" i="1"/>
  <c r="W80" i="1"/>
  <c r="W81" i="1"/>
  <c r="W82" i="1"/>
  <c r="W83" i="1"/>
  <c r="W84" i="1"/>
  <c r="W85" i="1"/>
  <c r="W86" i="1"/>
  <c r="W87" i="1"/>
  <c r="W88" i="1"/>
  <c r="W89" i="1"/>
  <c r="W90" i="1"/>
  <c r="W91" i="1"/>
  <c r="W92" i="1"/>
  <c r="W93" i="1"/>
  <c r="W94" i="1"/>
  <c r="W95" i="1"/>
  <c r="W96" i="1"/>
  <c r="W97" i="1"/>
  <c r="W98" i="1"/>
  <c r="W99" i="1"/>
  <c r="W100" i="1"/>
  <c r="W101" i="1"/>
  <c r="W102" i="1"/>
  <c r="W103" i="1"/>
  <c r="W104" i="1"/>
  <c r="W105" i="1"/>
  <c r="W2" i="1"/>
  <c r="AN3" i="1"/>
  <c r="AN4" i="1"/>
  <c r="AN5" i="1"/>
  <c r="AN6" i="1"/>
  <c r="AN7" i="1"/>
  <c r="AN8" i="1"/>
  <c r="AN9" i="1"/>
  <c r="AN10" i="1"/>
  <c r="AN11" i="1"/>
  <c r="AN12" i="1"/>
  <c r="AN13" i="1"/>
  <c r="AN14" i="1"/>
  <c r="AN15" i="1"/>
  <c r="AN16" i="1"/>
  <c r="AN17" i="1"/>
  <c r="AN18" i="1"/>
  <c r="AN19" i="1"/>
  <c r="AN20" i="1"/>
  <c r="AN21" i="1"/>
  <c r="AN22" i="1"/>
  <c r="AN23" i="1"/>
  <c r="AN24" i="1"/>
  <c r="AN25" i="1"/>
  <c r="AN26" i="1"/>
  <c r="AN27" i="1"/>
  <c r="AN28" i="1"/>
  <c r="AN29" i="1"/>
  <c r="AN30" i="1"/>
  <c r="AN31" i="1"/>
  <c r="AN32" i="1"/>
  <c r="AN33" i="1"/>
  <c r="AN34" i="1"/>
  <c r="AN35" i="1"/>
  <c r="AN36" i="1"/>
  <c r="AN37" i="1"/>
  <c r="AN38" i="1"/>
  <c r="AN39" i="1"/>
  <c r="AN40" i="1"/>
  <c r="AN41" i="1"/>
  <c r="AN42" i="1"/>
  <c r="AN43" i="1"/>
  <c r="AN44" i="1"/>
  <c r="AN45" i="1"/>
  <c r="AN46" i="1"/>
  <c r="AN47" i="1"/>
  <c r="AN48" i="1"/>
  <c r="AN49" i="1"/>
  <c r="AN50" i="1"/>
  <c r="AL2" i="1"/>
  <c r="AN2" i="1"/>
  <c r="AM3" i="1"/>
  <c r="AM4" i="1"/>
  <c r="AM5" i="1"/>
  <c r="AM6" i="1"/>
  <c r="AM7" i="1"/>
  <c r="AM8" i="1"/>
  <c r="AM9" i="1"/>
  <c r="AM10" i="1"/>
  <c r="AM11" i="1"/>
  <c r="AM12" i="1"/>
  <c r="AM13" i="1"/>
  <c r="AM14" i="1"/>
  <c r="AM15" i="1"/>
  <c r="AM16" i="1"/>
  <c r="AM17" i="1"/>
  <c r="AM18" i="1"/>
  <c r="AM19" i="1"/>
  <c r="AM20" i="1"/>
  <c r="AM21" i="1"/>
  <c r="AM22" i="1"/>
  <c r="AM23" i="1"/>
  <c r="AM24" i="1"/>
  <c r="AM25" i="1"/>
  <c r="AM26" i="1"/>
  <c r="AM27" i="1"/>
  <c r="AM28" i="1"/>
  <c r="AM29" i="1"/>
  <c r="AM30" i="1"/>
  <c r="AM31" i="1"/>
  <c r="AM32" i="1"/>
  <c r="AM33" i="1"/>
  <c r="AM34" i="1"/>
  <c r="AM35" i="1"/>
  <c r="AM36" i="1"/>
  <c r="AM37" i="1"/>
  <c r="AM38" i="1"/>
  <c r="AM39" i="1"/>
  <c r="AM40" i="1"/>
  <c r="AM41" i="1"/>
  <c r="AM42" i="1"/>
  <c r="AM43" i="1"/>
  <c r="AM44" i="1"/>
  <c r="AM45" i="1"/>
  <c r="AM46" i="1"/>
  <c r="AM47" i="1"/>
  <c r="AM48" i="1"/>
  <c r="AM49" i="1"/>
  <c r="AM50" i="1"/>
  <c r="AM2" i="1"/>
  <c r="AL3" i="1"/>
  <c r="AL4" i="1"/>
  <c r="AL5" i="1"/>
  <c r="AL6" i="1"/>
  <c r="AL7" i="1"/>
  <c r="AL8" i="1"/>
  <c r="AL9" i="1"/>
  <c r="AL10" i="1"/>
  <c r="AL11" i="1"/>
  <c r="AL12" i="1"/>
  <c r="AL13" i="1"/>
  <c r="AL14" i="1"/>
  <c r="AL15" i="1"/>
  <c r="AL16" i="1"/>
  <c r="AL17" i="1"/>
  <c r="AL18" i="1"/>
  <c r="AL19" i="1"/>
  <c r="AL20" i="1"/>
  <c r="AL21" i="1"/>
  <c r="AL22" i="1"/>
  <c r="AL23" i="1"/>
  <c r="AL24" i="1"/>
  <c r="AL25" i="1"/>
  <c r="AL26" i="1"/>
  <c r="AL27" i="1"/>
  <c r="AL28" i="1"/>
  <c r="AL29" i="1"/>
  <c r="AL30" i="1"/>
  <c r="AL31" i="1"/>
  <c r="AL32" i="1"/>
  <c r="AL33" i="1"/>
  <c r="AL34" i="1"/>
  <c r="AL35" i="1"/>
  <c r="AL36" i="1"/>
  <c r="AL37" i="1"/>
  <c r="AL38" i="1"/>
  <c r="AL39" i="1"/>
  <c r="AL40" i="1"/>
  <c r="AL41" i="1"/>
  <c r="AL42" i="1"/>
  <c r="AL43" i="1"/>
  <c r="AL44" i="1"/>
  <c r="AL45" i="1"/>
  <c r="AL46" i="1"/>
  <c r="AL47" i="1"/>
  <c r="AL48" i="1"/>
  <c r="AL49" i="1"/>
  <c r="AL50" i="1"/>
</calcChain>
</file>

<file path=xl/sharedStrings.xml><?xml version="1.0" encoding="utf-8"?>
<sst xmlns="http://schemas.openxmlformats.org/spreadsheetml/2006/main" count="5436" uniqueCount="1115">
  <si>
    <t>Employee_Name</t>
  </si>
  <si>
    <t>EmpID</t>
  </si>
  <si>
    <t>MarriedID</t>
  </si>
  <si>
    <t>MaritalStatusID</t>
  </si>
  <si>
    <t>GenderID</t>
  </si>
  <si>
    <t>EmpStatusID</t>
  </si>
  <si>
    <t>DeptID</t>
  </si>
  <si>
    <t>PerfScoreID</t>
  </si>
  <si>
    <t>FromDiversityJobFairID</t>
  </si>
  <si>
    <t>Salary</t>
  </si>
  <si>
    <t>Termd</t>
  </si>
  <si>
    <t>PositionID</t>
  </si>
  <si>
    <t>Position</t>
  </si>
  <si>
    <t>State</t>
  </si>
  <si>
    <t>Zip</t>
  </si>
  <si>
    <t>DOB</t>
  </si>
  <si>
    <t>Sex</t>
  </si>
  <si>
    <t>MaritalDesc</t>
  </si>
  <si>
    <t>CitizenDesc</t>
  </si>
  <si>
    <t>HispanicLatino</t>
  </si>
  <si>
    <t>RaceDesc</t>
  </si>
  <si>
    <t>DateofHire</t>
  </si>
  <si>
    <t>New-Date-Cell</t>
  </si>
  <si>
    <t>DateofTermination</t>
  </si>
  <si>
    <t>TermReason</t>
  </si>
  <si>
    <t>EmploymentStatus</t>
  </si>
  <si>
    <t>Department</t>
  </si>
  <si>
    <t>ManagerName</t>
  </si>
  <si>
    <t>ManagerID</t>
  </si>
  <si>
    <t>RecruitmentSource</t>
  </si>
  <si>
    <t>PerformanceScore</t>
  </si>
  <si>
    <t>EngagementSurvey</t>
  </si>
  <si>
    <t>EmpSatisfaction</t>
  </si>
  <si>
    <t>SpecialProjectsCount</t>
  </si>
  <si>
    <t>LastPerformanceReview_Date</t>
  </si>
  <si>
    <t>DaysLateLast30</t>
  </si>
  <si>
    <t>Absences</t>
  </si>
  <si>
    <t>Full Name</t>
  </si>
  <si>
    <t>First 3 letters</t>
  </si>
  <si>
    <t>Last 3 Letters</t>
  </si>
  <si>
    <t>Hire Year</t>
  </si>
  <si>
    <t>Hire Month</t>
  </si>
  <si>
    <t>Years of Service</t>
  </si>
  <si>
    <t>Today's Date</t>
  </si>
  <si>
    <t>Employee Catagory</t>
  </si>
  <si>
    <t>Adinolfi, Wilson  K</t>
  </si>
  <si>
    <t>Production Technician I</t>
  </si>
  <si>
    <t>MA</t>
  </si>
  <si>
    <t>07/10/83</t>
  </si>
  <si>
    <t xml:space="preserve">M </t>
  </si>
  <si>
    <t>Single</t>
  </si>
  <si>
    <t>US Citizen</t>
  </si>
  <si>
    <t>No</t>
  </si>
  <si>
    <t>White</t>
  </si>
  <si>
    <t>7/5/2011</t>
  </si>
  <si>
    <t>N/A-StillEmployed</t>
  </si>
  <si>
    <t>Active</t>
  </si>
  <si>
    <t xml:space="preserve">Production       </t>
  </si>
  <si>
    <t>Michael Albert</t>
  </si>
  <si>
    <t>LinkedIn</t>
  </si>
  <si>
    <t>Exceeds</t>
  </si>
  <si>
    <t>1/17/2019</t>
  </si>
  <si>
    <t xml:space="preserve">Ait Sidi, Karthikeyan   </t>
  </si>
  <si>
    <t>Sr. DBA</t>
  </si>
  <si>
    <t>05/05/75</t>
  </si>
  <si>
    <t>Married</t>
  </si>
  <si>
    <t>3/30/2015</t>
  </si>
  <si>
    <t>6/16/2016</t>
  </si>
  <si>
    <t>career change</t>
  </si>
  <si>
    <t>Voluntarily Terminated</t>
  </si>
  <si>
    <t>IT/IS</t>
  </si>
  <si>
    <t>Simon Roup</t>
  </si>
  <si>
    <t>Indeed</t>
  </si>
  <si>
    <t>Fully Meets</t>
  </si>
  <si>
    <t>2/24/2016</t>
  </si>
  <si>
    <t>Akinkuolie, Sarah</t>
  </si>
  <si>
    <t>Production Technician II</t>
  </si>
  <si>
    <t>09/19/88</t>
  </si>
  <si>
    <t>F</t>
  </si>
  <si>
    <t>9/24/2012</t>
  </si>
  <si>
    <t>hours</t>
  </si>
  <si>
    <t>Kissy Sullivan</t>
  </si>
  <si>
    <t>5/15/2012</t>
  </si>
  <si>
    <t>Alagbe,Trina</t>
  </si>
  <si>
    <t>09/27/88</t>
  </si>
  <si>
    <t>1/7/2008</t>
  </si>
  <si>
    <t>Elijiah Gray</t>
  </si>
  <si>
    <t>1/3/2019</t>
  </si>
  <si>
    <t xml:space="preserve">Anderson, Carol </t>
  </si>
  <si>
    <t>09/08/89</t>
  </si>
  <si>
    <t>Divorced</t>
  </si>
  <si>
    <t>7/11/2011</t>
  </si>
  <si>
    <t>9/6/2016</t>
  </si>
  <si>
    <t>return to school</t>
  </si>
  <si>
    <t>Webster Butler</t>
  </si>
  <si>
    <t>Google Search</t>
  </si>
  <si>
    <t>2/1/2016</t>
  </si>
  <si>
    <t xml:space="preserve">Anderson, Linda  </t>
  </si>
  <si>
    <t>05/22/77</t>
  </si>
  <si>
    <t>1/9/2012</t>
  </si>
  <si>
    <t>Amy Dunn</t>
  </si>
  <si>
    <t>1/7/2019</t>
  </si>
  <si>
    <t>Andreola, Colby</t>
  </si>
  <si>
    <t>Software Engineer</t>
  </si>
  <si>
    <t>05/24/79</t>
  </si>
  <si>
    <t>11/10/2014</t>
  </si>
  <si>
    <t>Software Engineering</t>
  </si>
  <si>
    <t>Alex Sweetwater</t>
  </si>
  <si>
    <t>1/2/2019</t>
  </si>
  <si>
    <t>Athwal, Sam</t>
  </si>
  <si>
    <t>02/18/83</t>
  </si>
  <si>
    <t>Widowed</t>
  </si>
  <si>
    <t>9/30/2013</t>
  </si>
  <si>
    <t>Ketsia Liebig</t>
  </si>
  <si>
    <t>Employee Referral</t>
  </si>
  <si>
    <t>2/25/2019</t>
  </si>
  <si>
    <t>Bachiochi, Linda</t>
  </si>
  <si>
    <t>02/11/70</t>
  </si>
  <si>
    <t>Black or African American</t>
  </si>
  <si>
    <t>7/6/2009</t>
  </si>
  <si>
    <t>Brannon Miller</t>
  </si>
  <si>
    <t>Diversity Job Fair</t>
  </si>
  <si>
    <t>1/25/2019</t>
  </si>
  <si>
    <t xml:space="preserve">Bacong, Alejandro </t>
  </si>
  <si>
    <t>IT Support</t>
  </si>
  <si>
    <t>01/07/88</t>
  </si>
  <si>
    <t>1/5/2015</t>
  </si>
  <si>
    <t>Peter Monroe</t>
  </si>
  <si>
    <t>2/18/2019</t>
  </si>
  <si>
    <t xml:space="preserve">Baczenski, Rachael  </t>
  </si>
  <si>
    <t>01/12/74</t>
  </si>
  <si>
    <t>Yes</t>
  </si>
  <si>
    <t>1/10/2011</t>
  </si>
  <si>
    <t>1/12/2017</t>
  </si>
  <si>
    <t>Another position</t>
  </si>
  <si>
    <t>David Stanley</t>
  </si>
  <si>
    <t>1/30/2016</t>
  </si>
  <si>
    <t>Barbara, Thomas</t>
  </si>
  <si>
    <t>02/21/74</t>
  </si>
  <si>
    <t>4/2/2012</t>
  </si>
  <si>
    <t>9/19/2016</t>
  </si>
  <si>
    <t>unhappy</t>
  </si>
  <si>
    <t>5/6/2016</t>
  </si>
  <si>
    <t>Barbossa, Hector</t>
  </si>
  <si>
    <t>Data Analyst</t>
  </si>
  <si>
    <t>TX</t>
  </si>
  <si>
    <t>07/04/88</t>
  </si>
  <si>
    <t>Barone, Francesco  A</t>
  </si>
  <si>
    <t>07/20/83</t>
  </si>
  <si>
    <t>Two or more races</t>
  </si>
  <si>
    <t>2/20/2012</t>
  </si>
  <si>
    <t>Kelley Spirea</t>
  </si>
  <si>
    <t>2/14/2019</t>
  </si>
  <si>
    <t>Barton, Nader</t>
  </si>
  <si>
    <t>07/15/77</t>
  </si>
  <si>
    <t>4/6/2017</t>
  </si>
  <si>
    <t>On-line Web application</t>
  </si>
  <si>
    <t>3/2/2017</t>
  </si>
  <si>
    <t>Bates, Norman</t>
  </si>
  <si>
    <t>10/18/81</t>
  </si>
  <si>
    <t>2/21/2011</t>
  </si>
  <si>
    <t>8/4/2017</t>
  </si>
  <si>
    <t>attendance</t>
  </si>
  <si>
    <t>Terminated for Cause</t>
  </si>
  <si>
    <t>4/5/2017</t>
  </si>
  <si>
    <t xml:space="preserve">Beak, Kimberly  </t>
  </si>
  <si>
    <t>04/17/66</t>
  </si>
  <si>
    <t>7/21/2016</t>
  </si>
  <si>
    <t>1/14/2019</t>
  </si>
  <si>
    <t xml:space="preserve">Beatrice, Courtney </t>
  </si>
  <si>
    <t>10/27/70</t>
  </si>
  <si>
    <t>Eligible NonCitizen</t>
  </si>
  <si>
    <t>4/4/2011</t>
  </si>
  <si>
    <t>Becker, Renee</t>
  </si>
  <si>
    <t>Database Administrator</t>
  </si>
  <si>
    <t>04/04/86</t>
  </si>
  <si>
    <t>7/7/2014</t>
  </si>
  <si>
    <t>9/12/2015</t>
  </si>
  <si>
    <t>performance</t>
  </si>
  <si>
    <t>1/15/2015</t>
  </si>
  <si>
    <t>Becker, Scott</t>
  </si>
  <si>
    <t>04/06/79</t>
  </si>
  <si>
    <t>Asian</t>
  </si>
  <si>
    <t>7/8/2013</t>
  </si>
  <si>
    <t>1/11/2019</t>
  </si>
  <si>
    <t>Bernstein, Sean</t>
  </si>
  <si>
    <t>12/22/70</t>
  </si>
  <si>
    <t>Biden, Lowan  M</t>
  </si>
  <si>
    <t>12/27/58</t>
  </si>
  <si>
    <t>8/19/2013</t>
  </si>
  <si>
    <t>1/10/2019</t>
  </si>
  <si>
    <t>Billis, Helen</t>
  </si>
  <si>
    <t>09/01/89</t>
  </si>
  <si>
    <t>2/27/2019</t>
  </si>
  <si>
    <t>Blount, Dianna</t>
  </si>
  <si>
    <t>09/21/90</t>
  </si>
  <si>
    <t>CareerBuilder</t>
  </si>
  <si>
    <t>Needs Improvement</t>
  </si>
  <si>
    <t>Bondwell, Betsy</t>
  </si>
  <si>
    <t>01/16/67</t>
  </si>
  <si>
    <t>4/4/2014</t>
  </si>
  <si>
    <t>3/4/2014</t>
  </si>
  <si>
    <t>Booth, Frank</t>
  </si>
  <si>
    <t>Enterprise Architect</t>
  </si>
  <si>
    <t>CT</t>
  </si>
  <si>
    <t>07/30/64</t>
  </si>
  <si>
    <t>2/17/2014</t>
  </si>
  <si>
    <t>2/19/2016</t>
  </si>
  <si>
    <t>Learned that he is a gangster</t>
  </si>
  <si>
    <t>1/10/2016</t>
  </si>
  <si>
    <t>Boutwell, Bonalyn</t>
  </si>
  <si>
    <t>Sr. Accountant</t>
  </si>
  <si>
    <t>04/04/87</t>
  </si>
  <si>
    <t>2/16/2015</t>
  </si>
  <si>
    <t>Admin Offices</t>
  </si>
  <si>
    <t>Brandon R. LeBlanc</t>
  </si>
  <si>
    <t>Bozzi, Charles</t>
  </si>
  <si>
    <t>Production Manager</t>
  </si>
  <si>
    <t>03/10/70</t>
  </si>
  <si>
    <t>8/7/2014</t>
  </si>
  <si>
    <t>retiring</t>
  </si>
  <si>
    <t>Janet King</t>
  </si>
  <si>
    <t>2/20/2014</t>
  </si>
  <si>
    <t>Brill, Donna</t>
  </si>
  <si>
    <t>08/24/90</t>
  </si>
  <si>
    <t>6/15/2013</t>
  </si>
  <si>
    <t>3/4/2013</t>
  </si>
  <si>
    <t>Brown, Mia</t>
  </si>
  <si>
    <t>Accountant I</t>
  </si>
  <si>
    <t>11/24/87</t>
  </si>
  <si>
    <t>10/27/2008</t>
  </si>
  <si>
    <t>1/15/2019</t>
  </si>
  <si>
    <t xml:space="preserve">Buccheri, Joseph  </t>
  </si>
  <si>
    <t>07/28/83</t>
  </si>
  <si>
    <t>9/29/2014</t>
  </si>
  <si>
    <t>2/1/2019</t>
  </si>
  <si>
    <t xml:space="preserve">Bugali, Josephine </t>
  </si>
  <si>
    <t>10/30/69</t>
  </si>
  <si>
    <t>Separated</t>
  </si>
  <si>
    <t>11/11/2013</t>
  </si>
  <si>
    <t>1/21/2019</t>
  </si>
  <si>
    <t>Bunbury, Jessica</t>
  </si>
  <si>
    <t>Area Sales Manager</t>
  </si>
  <si>
    <t>VA</t>
  </si>
  <si>
    <t>06/01/64</t>
  </si>
  <si>
    <t>8/15/2011</t>
  </si>
  <si>
    <t>8/2/2014</t>
  </si>
  <si>
    <t>Sales</t>
  </si>
  <si>
    <t>John Smith</t>
  </si>
  <si>
    <t>2/10/2013</t>
  </si>
  <si>
    <t>Burke, Joelle</t>
  </si>
  <si>
    <t>03/02/80</t>
  </si>
  <si>
    <t>3/5/2012</t>
  </si>
  <si>
    <t>2/21/2019</t>
  </si>
  <si>
    <t xml:space="preserve">Burkett, Benjamin </t>
  </si>
  <si>
    <t>08/19/77</t>
  </si>
  <si>
    <t xml:space="preserve">Cady, Max </t>
  </si>
  <si>
    <t>Software Engineering Manager</t>
  </si>
  <si>
    <t>11/22/66</t>
  </si>
  <si>
    <t>Jennifer Zamora</t>
  </si>
  <si>
    <t>Candie, Calvin</t>
  </si>
  <si>
    <t>08/09/83</t>
  </si>
  <si>
    <t>1/28/2016</t>
  </si>
  <si>
    <t>2/22/2019</t>
  </si>
  <si>
    <t>Carabbio, Judith</t>
  </si>
  <si>
    <t>04/05/87</t>
  </si>
  <si>
    <t>1/30/2019</t>
  </si>
  <si>
    <t xml:space="preserve">Carey, Michael  </t>
  </si>
  <si>
    <t>02/02/83</t>
  </si>
  <si>
    <t>3/31/2014</t>
  </si>
  <si>
    <t>Carr, Claudia  N</t>
  </si>
  <si>
    <t>06/06/86</t>
  </si>
  <si>
    <t>6/30/2016</t>
  </si>
  <si>
    <t xml:space="preserve">Carter, Michelle </t>
  </si>
  <si>
    <t>VT</t>
  </si>
  <si>
    <t>05/15/63</t>
  </si>
  <si>
    <t>8/18/2014</t>
  </si>
  <si>
    <t xml:space="preserve">Chace, Beatrice </t>
  </si>
  <si>
    <t>01/02/51</t>
  </si>
  <si>
    <t>2/12/2019</t>
  </si>
  <si>
    <t>Champaigne, Brian</t>
  </si>
  <si>
    <t>BI Director</t>
  </si>
  <si>
    <t>02/09/72</t>
  </si>
  <si>
    <t>Chan, Lin</t>
  </si>
  <si>
    <t>02/12/79</t>
  </si>
  <si>
    <t>5/12/2014</t>
  </si>
  <si>
    <t>2/19/2019</t>
  </si>
  <si>
    <t>Chang, Donovan  E</t>
  </si>
  <si>
    <t>08/24/83</t>
  </si>
  <si>
    <t>Chigurh, Anton</t>
  </si>
  <si>
    <t>06/11/70</t>
  </si>
  <si>
    <t>5/14/2012</t>
  </si>
  <si>
    <t>Lynn Daneault</t>
  </si>
  <si>
    <t>1/19/2019</t>
  </si>
  <si>
    <t>Chivukula, Enola</t>
  </si>
  <si>
    <t>08/27/83</t>
  </si>
  <si>
    <t>6/27/2011</t>
  </si>
  <si>
    <t>11/15/2015</t>
  </si>
  <si>
    <t>relocation out of area</t>
  </si>
  <si>
    <t>3/10/2015</t>
  </si>
  <si>
    <t xml:space="preserve">Cierpiszewski, Caroline  </t>
  </si>
  <si>
    <t>05/31/88</t>
  </si>
  <si>
    <t>Non-Citizen</t>
  </si>
  <si>
    <t>10/3/2011</t>
  </si>
  <si>
    <t>Clayton, Rick</t>
  </si>
  <si>
    <t>09/05/85</t>
  </si>
  <si>
    <t>9/5/2012</t>
  </si>
  <si>
    <t>Eric Dougall</t>
  </si>
  <si>
    <t>Cloninger, Jennifer</t>
  </si>
  <si>
    <t>08/31/81</t>
  </si>
  <si>
    <t>5/16/2011</t>
  </si>
  <si>
    <t>1/7/2013</t>
  </si>
  <si>
    <t>5/3/2012</t>
  </si>
  <si>
    <t>Close, Phil</t>
  </si>
  <si>
    <t>11/25/78</t>
  </si>
  <si>
    <t>8/30/2010</t>
  </si>
  <si>
    <t>9/26/2011</t>
  </si>
  <si>
    <t>5/4/2011</t>
  </si>
  <si>
    <t>Clukey, Elijian</t>
  </si>
  <si>
    <t>08/26/80</t>
  </si>
  <si>
    <t>7/6/2016</t>
  </si>
  <si>
    <t>2/28/2019</t>
  </si>
  <si>
    <t>Cockel, James</t>
  </si>
  <si>
    <t>09/08/77</t>
  </si>
  <si>
    <t>Cole, Spencer</t>
  </si>
  <si>
    <t>08/12/79</t>
  </si>
  <si>
    <t>9/23/2016</t>
  </si>
  <si>
    <t>5/1/2016</t>
  </si>
  <si>
    <t>Corleone, Michael</t>
  </si>
  <si>
    <t>12/17/75</t>
  </si>
  <si>
    <t>7/20/2010</t>
  </si>
  <si>
    <t>Corleone, Vito</t>
  </si>
  <si>
    <t>Director of Operations</t>
  </si>
  <si>
    <t>03/19/83</t>
  </si>
  <si>
    <t>1/5/2009</t>
  </si>
  <si>
    <t>2/4/2019</t>
  </si>
  <si>
    <t xml:space="preserve">Cornett, Lisa </t>
  </si>
  <si>
    <t>03/31/77</t>
  </si>
  <si>
    <t>Costello, Frank</t>
  </si>
  <si>
    <t>08/26/86</t>
  </si>
  <si>
    <t>1/22/2019</t>
  </si>
  <si>
    <t>Crimmings,   Jean</t>
  </si>
  <si>
    <t>04/10/87</t>
  </si>
  <si>
    <t>1/28/2019</t>
  </si>
  <si>
    <t>Cross, Noah</t>
  </si>
  <si>
    <t>Sr. Network Engineer</t>
  </si>
  <si>
    <t>09/09/65</t>
  </si>
  <si>
    <t>Daneault, Lynn</t>
  </si>
  <si>
    <t>Sales Manager</t>
  </si>
  <si>
    <t>04/19/90</t>
  </si>
  <si>
    <t>5/5/2014</t>
  </si>
  <si>
    <t>Debra Houlihan</t>
  </si>
  <si>
    <t>1/24/2019</t>
  </si>
  <si>
    <t xml:space="preserve">Daniele, Ann  </t>
  </si>
  <si>
    <t>01/18/52</t>
  </si>
  <si>
    <t xml:space="preserve">Darson, Jene'ya </t>
  </si>
  <si>
    <t>11/05/78</t>
  </si>
  <si>
    <t>7/2/2012</t>
  </si>
  <si>
    <t>Davis, Daniel</t>
  </si>
  <si>
    <t>09/14/79</t>
  </si>
  <si>
    <t>11/7/2011</t>
  </si>
  <si>
    <t>Dee, Randy</t>
  </si>
  <si>
    <t>04/15/88</t>
  </si>
  <si>
    <t>7/9/2018</t>
  </si>
  <si>
    <t>1/31/2019</t>
  </si>
  <si>
    <t>DeGweck,  James</t>
  </si>
  <si>
    <t>10/31/77</t>
  </si>
  <si>
    <t>6/8/2016</t>
  </si>
  <si>
    <t>4/2/2016</t>
  </si>
  <si>
    <t>Del Bosque, Keyla</t>
  </si>
  <si>
    <t>07/05/79</t>
  </si>
  <si>
    <t>Delarge, Alex</t>
  </si>
  <si>
    <t>AL</t>
  </si>
  <si>
    <t>11/02/75</t>
  </si>
  <si>
    <t>PIP</t>
  </si>
  <si>
    <t>Demita, Carla</t>
  </si>
  <si>
    <t>02/25/51</t>
  </si>
  <si>
    <t>11/4/2015</t>
  </si>
  <si>
    <t>more money</t>
  </si>
  <si>
    <t>5/6/2015</t>
  </si>
  <si>
    <t xml:space="preserve">Desimone, Carl </t>
  </si>
  <si>
    <t>04/19/67</t>
  </si>
  <si>
    <t>DeVito, Tommy</t>
  </si>
  <si>
    <t>BI Developer</t>
  </si>
  <si>
    <t>09/04/83</t>
  </si>
  <si>
    <t>2/15/2017</t>
  </si>
  <si>
    <t>Brian Champaigne</t>
  </si>
  <si>
    <t>1/23/2019</t>
  </si>
  <si>
    <t xml:space="preserve">Dickinson, Geoff </t>
  </si>
  <si>
    <t>11/15/82</t>
  </si>
  <si>
    <t xml:space="preserve">Dietrich, Jenna  </t>
  </si>
  <si>
    <t>WA</t>
  </si>
  <si>
    <t>05/14/87</t>
  </si>
  <si>
    <t>Website</t>
  </si>
  <si>
    <t>1/29/2019</t>
  </si>
  <si>
    <t xml:space="preserve">DiNocco, Lily </t>
  </si>
  <si>
    <t>12/02/78</t>
  </si>
  <si>
    <t>1/18/2019</t>
  </si>
  <si>
    <t>Dobrin, Denisa  S</t>
  </si>
  <si>
    <t>10/07/86</t>
  </si>
  <si>
    <t>Dolan, Linda</t>
  </si>
  <si>
    <t>07/18/88</t>
  </si>
  <si>
    <t>Dougall, Eric</t>
  </si>
  <si>
    <t>IT Manager - Support</t>
  </si>
  <si>
    <t>07/09/70</t>
  </si>
  <si>
    <t>1/5/2014</t>
  </si>
  <si>
    <t>1/4/2019</t>
  </si>
  <si>
    <t>Driver, Elle</t>
  </si>
  <si>
    <t>CA</t>
  </si>
  <si>
    <t>11/08/88</t>
  </si>
  <si>
    <t>1/27/2019</t>
  </si>
  <si>
    <t xml:space="preserve">Dunn, Amy  </t>
  </si>
  <si>
    <t>11/28/73</t>
  </si>
  <si>
    <t>9/18/2014</t>
  </si>
  <si>
    <t>Dunne, Amy</t>
  </si>
  <si>
    <t>09/23/73</t>
  </si>
  <si>
    <t>4/26/2010</t>
  </si>
  <si>
    <t>Eaton, Marianne</t>
  </si>
  <si>
    <t>09/05/91</t>
  </si>
  <si>
    <t>6/6/2017</t>
  </si>
  <si>
    <t>military</t>
  </si>
  <si>
    <t>4/9/2017</t>
  </si>
  <si>
    <t>Engdahl, Jean</t>
  </si>
  <si>
    <t>05/31/74</t>
  </si>
  <si>
    <t>2/13/2019</t>
  </si>
  <si>
    <t>England, Rex</t>
  </si>
  <si>
    <t>08/25/78</t>
  </si>
  <si>
    <t>Erilus, Angela</t>
  </si>
  <si>
    <t>08/25/89</t>
  </si>
  <si>
    <t>Estremera, Miguel</t>
  </si>
  <si>
    <t>09/02/83</t>
  </si>
  <si>
    <t>9/27/2018</t>
  </si>
  <si>
    <t>4/12/2018</t>
  </si>
  <si>
    <t>Evensen, April</t>
  </si>
  <si>
    <t>05/06/89</t>
  </si>
  <si>
    <t>2/25/2018</t>
  </si>
  <si>
    <t>no-call, no-show</t>
  </si>
  <si>
    <t>1/15/2017</t>
  </si>
  <si>
    <t>Exantus, Susan</t>
  </si>
  <si>
    <t>05/15/87</t>
  </si>
  <si>
    <t>5/2/2011</t>
  </si>
  <si>
    <t>6/5/2013</t>
  </si>
  <si>
    <t>8/10/2012</t>
  </si>
  <si>
    <t xml:space="preserve">Faller, Megan </t>
  </si>
  <si>
    <t>09/22/78</t>
  </si>
  <si>
    <t>Fancett, Nicole</t>
  </si>
  <si>
    <t>09/27/87</t>
  </si>
  <si>
    <t>Ferguson, Susan</t>
  </si>
  <si>
    <t>04/14/55</t>
  </si>
  <si>
    <t>5/17/2016</t>
  </si>
  <si>
    <t>2/4/2016</t>
  </si>
  <si>
    <t xml:space="preserve">Fernandes, Nilson  </t>
  </si>
  <si>
    <t>10/18/89</t>
  </si>
  <si>
    <t>5/11/2015</t>
  </si>
  <si>
    <t>Fett, Boba</t>
  </si>
  <si>
    <t>Network Engineer</t>
  </si>
  <si>
    <t>06/18/87</t>
  </si>
  <si>
    <t>Fidelia,  Libby</t>
  </si>
  <si>
    <t>03/16/81</t>
  </si>
  <si>
    <t>Fitzpatrick, Michael  J</t>
  </si>
  <si>
    <t>10/01/81</t>
  </si>
  <si>
    <t>6/24/2013</t>
  </si>
  <si>
    <t>4/5/2013</t>
  </si>
  <si>
    <t>Foreman, Tanya</t>
  </si>
  <si>
    <t>11/08/83</t>
  </si>
  <si>
    <t>1/9/2013</t>
  </si>
  <si>
    <t>1/7/2012</t>
  </si>
  <si>
    <t>Forrest, Alex</t>
  </si>
  <si>
    <t>07/07/75</t>
  </si>
  <si>
    <t>8/19/2018</t>
  </si>
  <si>
    <t>Fatal attraction</t>
  </si>
  <si>
    <t>Foss, Jason</t>
  </si>
  <si>
    <t>IT Director</t>
  </si>
  <si>
    <t>07/05/80</t>
  </si>
  <si>
    <t>4/15/2011</t>
  </si>
  <si>
    <t>Foster-Baker, Amy</t>
  </si>
  <si>
    <t>04/16/79</t>
  </si>
  <si>
    <t>no</t>
  </si>
  <si>
    <t>Board of Directors</t>
  </si>
  <si>
    <t>Other</t>
  </si>
  <si>
    <t>2/8/2019</t>
  </si>
  <si>
    <t xml:space="preserve">Fraval, Maruk </t>
  </si>
  <si>
    <t>08/28/63</t>
  </si>
  <si>
    <t>9/6/2011</t>
  </si>
  <si>
    <t>Galia, Lisa</t>
  </si>
  <si>
    <t>07/06/68</t>
  </si>
  <si>
    <t>5/1/2010</t>
  </si>
  <si>
    <t>Garcia, Raul</t>
  </si>
  <si>
    <t>09/15/85</t>
  </si>
  <si>
    <t>Gaul, Barbara</t>
  </si>
  <si>
    <t>12/02/83</t>
  </si>
  <si>
    <t>2/26/2019</t>
  </si>
  <si>
    <t>Gentry, Mildred</t>
  </si>
  <si>
    <t>10/01/90</t>
  </si>
  <si>
    <t>1/16/2019</t>
  </si>
  <si>
    <t>Gerke, Melisa</t>
  </si>
  <si>
    <t>05/15/70</t>
  </si>
  <si>
    <t>11/15/2016</t>
  </si>
  <si>
    <t>4/29/2016</t>
  </si>
  <si>
    <t xml:space="preserve">Gill, Whitney  </t>
  </si>
  <si>
    <t>OH</t>
  </si>
  <si>
    <t>07/10/71</t>
  </si>
  <si>
    <t>9/5/2015</t>
  </si>
  <si>
    <t>1/15/2014</t>
  </si>
  <si>
    <t>Gilles, Alex</t>
  </si>
  <si>
    <t>08/09/74</t>
  </si>
  <si>
    <t>6/25/2015</t>
  </si>
  <si>
    <t>1/20/2015</t>
  </si>
  <si>
    <t>Girifalco, Evelyn</t>
  </si>
  <si>
    <t>05/08/80</t>
  </si>
  <si>
    <t>2/7/2019</t>
  </si>
  <si>
    <t>Givens, Myriam</t>
  </si>
  <si>
    <t>IN</t>
  </si>
  <si>
    <t>09/22/89</t>
  </si>
  <si>
    <t>Goble, Taisha</t>
  </si>
  <si>
    <t>10/23/71</t>
  </si>
  <si>
    <t>3/15/2015</t>
  </si>
  <si>
    <t>Goeth, Amon</t>
  </si>
  <si>
    <t>11/24/89</t>
  </si>
  <si>
    <t xml:space="preserve">Gold, Shenice  </t>
  </si>
  <si>
    <t>06/18/92</t>
  </si>
  <si>
    <t>Gonzalez, Cayo</t>
  </si>
  <si>
    <t>09/29/69</t>
  </si>
  <si>
    <t>Gonzalez, Juan</t>
  </si>
  <si>
    <t>10/12/64</t>
  </si>
  <si>
    <t>5/30/2011</t>
  </si>
  <si>
    <t>3/6/2011</t>
  </si>
  <si>
    <t>Gonzalez, Maria</t>
  </si>
  <si>
    <t>04/16/81</t>
  </si>
  <si>
    <t>Good, Susan</t>
  </si>
  <si>
    <t>05/25/86</t>
  </si>
  <si>
    <t>Gordon, David</t>
  </si>
  <si>
    <t>05/21/79</t>
  </si>
  <si>
    <t xml:space="preserve">Gosciminski, Phylicia  </t>
  </si>
  <si>
    <t>12/08/83</t>
  </si>
  <si>
    <t>American Indian or Alaska Native</t>
  </si>
  <si>
    <t>Goyal, Roxana</t>
  </si>
  <si>
    <t>10/09/74</t>
  </si>
  <si>
    <t>2/15/2019</t>
  </si>
  <si>
    <t xml:space="preserve">Gray, Elijiah  </t>
  </si>
  <si>
    <t>07/11/81</t>
  </si>
  <si>
    <t>6/2/2015</t>
  </si>
  <si>
    <t>Gross, Paula</t>
  </si>
  <si>
    <t>05/21/83</t>
  </si>
  <si>
    <t>1/11/2014</t>
  </si>
  <si>
    <t>6/3/2013</t>
  </si>
  <si>
    <t>Gruber, Hans</t>
  </si>
  <si>
    <t>06/30/89</t>
  </si>
  <si>
    <t>4/20/2017</t>
  </si>
  <si>
    <t>Guilianno, Mike</t>
  </si>
  <si>
    <t>TN</t>
  </si>
  <si>
    <t>02/09/69</t>
  </si>
  <si>
    <t>3/7/2012</t>
  </si>
  <si>
    <t>10/31/2014</t>
  </si>
  <si>
    <t>2/1/2013</t>
  </si>
  <si>
    <t>Handschiegl, Joanne</t>
  </si>
  <si>
    <t>03/23/77</t>
  </si>
  <si>
    <t>11/28/2011</t>
  </si>
  <si>
    <t>Hankard, Earnest</t>
  </si>
  <si>
    <t>08/10/88</t>
  </si>
  <si>
    <t>1/8/2019</t>
  </si>
  <si>
    <t xml:space="preserve">Harrington, Christie </t>
  </si>
  <si>
    <t>08/18/52</t>
  </si>
  <si>
    <t>12/15/2015</t>
  </si>
  <si>
    <t>5/2/2015</t>
  </si>
  <si>
    <t>Harrison, Kara</t>
  </si>
  <si>
    <t>05/02/74</t>
  </si>
  <si>
    <t>Heitzman, Anthony</t>
  </si>
  <si>
    <t>01/04/84</t>
  </si>
  <si>
    <t>8/13/2012</t>
  </si>
  <si>
    <t>2/11/2019</t>
  </si>
  <si>
    <t>Hendrickson, Trina</t>
  </si>
  <si>
    <t>08/27/72</t>
  </si>
  <si>
    <t>6/18/2013</t>
  </si>
  <si>
    <t>1/30/2013</t>
  </si>
  <si>
    <t>Hitchcock, Alfred</t>
  </si>
  <si>
    <t>NH</t>
  </si>
  <si>
    <t>09/14/88</t>
  </si>
  <si>
    <t>Homberger, Adrienne  J</t>
  </si>
  <si>
    <t>02/16/84</t>
  </si>
  <si>
    <t>4/7/2012</t>
  </si>
  <si>
    <t>Horton, Jayne</t>
  </si>
  <si>
    <t>02/21/84</t>
  </si>
  <si>
    <t>Houlihan, Debra</t>
  </si>
  <si>
    <t>Director of Sales</t>
  </si>
  <si>
    <t>RI</t>
  </si>
  <si>
    <t>03/17/66</t>
  </si>
  <si>
    <t>Howard, Estelle</t>
  </si>
  <si>
    <t>Administrative Assistant</t>
  </si>
  <si>
    <t>09/16/85</t>
  </si>
  <si>
    <t>4/15/2015</t>
  </si>
  <si>
    <t>Hudson, Jane</t>
  </si>
  <si>
    <t>06/10/86</t>
  </si>
  <si>
    <t>Hunts, Julissa</t>
  </si>
  <si>
    <t>03/11/84</t>
  </si>
  <si>
    <t>6/6/2016</t>
  </si>
  <si>
    <t>Hutter, Rosalie</t>
  </si>
  <si>
    <t>05/07/92</t>
  </si>
  <si>
    <t>6/5/2015</t>
  </si>
  <si>
    <t>Huynh, Ming</t>
  </si>
  <si>
    <t>09/22/76</t>
  </si>
  <si>
    <t>4/1/2013</t>
  </si>
  <si>
    <t>Immediato, Walter</t>
  </si>
  <si>
    <t>11/15/76</t>
  </si>
  <si>
    <t>4/12/2012</t>
  </si>
  <si>
    <t xml:space="preserve">Ivey, Rose </t>
  </si>
  <si>
    <t>01/28/91</t>
  </si>
  <si>
    <t>Jackson, Maryellen</t>
  </si>
  <si>
    <t>09/11/72</t>
  </si>
  <si>
    <t>11/5/2012</t>
  </si>
  <si>
    <t xml:space="preserve">Jacobi, Hannah  </t>
  </si>
  <si>
    <t>03/22/66</t>
  </si>
  <si>
    <t>Jeannite, Tayana</t>
  </si>
  <si>
    <t>11/06/86</t>
  </si>
  <si>
    <t xml:space="preserve">Jhaveri, Sneha  </t>
  </si>
  <si>
    <t>04/13/64</t>
  </si>
  <si>
    <t>1/6/2014</t>
  </si>
  <si>
    <t>Johnson, George</t>
  </si>
  <si>
    <t>08/19/59</t>
  </si>
  <si>
    <t>4/29/2018</t>
  </si>
  <si>
    <t>2/14/2018</t>
  </si>
  <si>
    <t xml:space="preserve">Johnson, Noelle </t>
  </si>
  <si>
    <t>11/07/86</t>
  </si>
  <si>
    <t>Johnston, Yen</t>
  </si>
  <si>
    <t>09/08/69</t>
  </si>
  <si>
    <t xml:space="preserve">Jung, Judy  </t>
  </si>
  <si>
    <t>04/17/86</t>
  </si>
  <si>
    <t>4/1/2016</t>
  </si>
  <si>
    <t>2/3/2016</t>
  </si>
  <si>
    <t>Kampew, Donysha</t>
  </si>
  <si>
    <t>PA</t>
  </si>
  <si>
    <t>11/11/89</t>
  </si>
  <si>
    <t>4/24/2014</t>
  </si>
  <si>
    <t>maternity leave - did not return</t>
  </si>
  <si>
    <t>3/30/2013</t>
  </si>
  <si>
    <t xml:space="preserve">Keatts, Kramer </t>
  </si>
  <si>
    <t>01/19/76</t>
  </si>
  <si>
    <t>Khemmich, Bartholemew</t>
  </si>
  <si>
    <t>CO</t>
  </si>
  <si>
    <t>11/27/79</t>
  </si>
  <si>
    <t>King, Janet</t>
  </si>
  <si>
    <t>President &amp; CEO</t>
  </si>
  <si>
    <t>09/21/54</t>
  </si>
  <si>
    <t>Executive Office</t>
  </si>
  <si>
    <t xml:space="preserve">Kinsella, Kathleen  </t>
  </si>
  <si>
    <t>12/08/73</t>
  </si>
  <si>
    <t>6/4/2015</t>
  </si>
  <si>
    <t>3/1/2015</t>
  </si>
  <si>
    <t xml:space="preserve">Kirill, Alexandra  </t>
  </si>
  <si>
    <t>10/08/70</t>
  </si>
  <si>
    <t>1/9/2014</t>
  </si>
  <si>
    <t>Knapp, Bradley  J</t>
  </si>
  <si>
    <t>11/10/77</t>
  </si>
  <si>
    <t>2/6/2019</t>
  </si>
  <si>
    <t>Kretschmer, John</t>
  </si>
  <si>
    <t>02/02/80</t>
  </si>
  <si>
    <t>Kreuger, Freddy</t>
  </si>
  <si>
    <t>NY</t>
  </si>
  <si>
    <t>02/24/69</t>
  </si>
  <si>
    <t>3/7/2011</t>
  </si>
  <si>
    <t>Lajiri,  Jyoti</t>
  </si>
  <si>
    <t>04/23/86</t>
  </si>
  <si>
    <t>Landa, Hans</t>
  </si>
  <si>
    <t>07/01/72</t>
  </si>
  <si>
    <t>12/12/2015</t>
  </si>
  <si>
    <t>2/15/2015</t>
  </si>
  <si>
    <t>Langford, Lindsey</t>
  </si>
  <si>
    <t>07/25/79</t>
  </si>
  <si>
    <t>Langton, Enrico</t>
  </si>
  <si>
    <t>12/09/86</t>
  </si>
  <si>
    <t>7/9/2012</t>
  </si>
  <si>
    <t xml:space="preserve">LaRotonda, William  </t>
  </si>
  <si>
    <t>04/26/84</t>
  </si>
  <si>
    <t>Latif, Mohammed</t>
  </si>
  <si>
    <t>05/09/84</t>
  </si>
  <si>
    <t>4/15/2013</t>
  </si>
  <si>
    <t>2/20/2013</t>
  </si>
  <si>
    <t>Le, Binh</t>
  </si>
  <si>
    <t>Senior BI Developer</t>
  </si>
  <si>
    <t>06/14/87</t>
  </si>
  <si>
    <t>10/2/2016</t>
  </si>
  <si>
    <t>Leach, Dallas</t>
  </si>
  <si>
    <t>01/17/79</t>
  </si>
  <si>
    <t>7/2/2017</t>
  </si>
  <si>
    <t>LeBlanc, Brandon  R</t>
  </si>
  <si>
    <t>Shared Services Manager</t>
  </si>
  <si>
    <t>06/10/84</t>
  </si>
  <si>
    <t>1/5/2016</t>
  </si>
  <si>
    <t>Lecter, Hannibal</t>
  </si>
  <si>
    <t>09/02/82</t>
  </si>
  <si>
    <t>Leruth, Giovanni</t>
  </si>
  <si>
    <t>UT</t>
  </si>
  <si>
    <t>12/27/88</t>
  </si>
  <si>
    <t>4/30/2012</t>
  </si>
  <si>
    <t>Liebig, Ketsia</t>
  </si>
  <si>
    <t>10/26/81</t>
  </si>
  <si>
    <t xml:space="preserve">Linares, Marilyn </t>
  </si>
  <si>
    <t>03/26/81</t>
  </si>
  <si>
    <t>9/26/2018</t>
  </si>
  <si>
    <t>3/2/2018</t>
  </si>
  <si>
    <t>Linden, Mathew</t>
  </si>
  <si>
    <t>03/19/79</t>
  </si>
  <si>
    <t xml:space="preserve">Lindsay, Leonara </t>
  </si>
  <si>
    <t>10/05/88</t>
  </si>
  <si>
    <t>1/21/2011</t>
  </si>
  <si>
    <t>Lundy, Susan</t>
  </si>
  <si>
    <t>12/26/76</t>
  </si>
  <si>
    <t>9/15/2016</t>
  </si>
  <si>
    <t>6/10/2016</t>
  </si>
  <si>
    <t>Lunquist, Lisa</t>
  </si>
  <si>
    <t>03/28/82</t>
  </si>
  <si>
    <t>Lydon, Allison</t>
  </si>
  <si>
    <t>10/22/75</t>
  </si>
  <si>
    <t>Lynch, Lindsay</t>
  </si>
  <si>
    <t>02/14/73</t>
  </si>
  <si>
    <t>11/14/2015</t>
  </si>
  <si>
    <t>2/2/2015</t>
  </si>
  <si>
    <t>MacLennan, Samuel</t>
  </si>
  <si>
    <t>11/09/72</t>
  </si>
  <si>
    <t>9/26/2017</t>
  </si>
  <si>
    <t>4/1/2017</t>
  </si>
  <si>
    <t xml:space="preserve">Mahoney, Lauren  </t>
  </si>
  <si>
    <t>07/07/86</t>
  </si>
  <si>
    <t>Manchester, Robyn</t>
  </si>
  <si>
    <t>08/25/76</t>
  </si>
  <si>
    <t>5/11/2016</t>
  </si>
  <si>
    <t>Mancuso, Karen</t>
  </si>
  <si>
    <t>12/10/86</t>
  </si>
  <si>
    <t>8/19/2012</t>
  </si>
  <si>
    <t>Mangal, Debbie</t>
  </si>
  <si>
    <t>11/07/74</t>
  </si>
  <si>
    <t>Martin, Sandra</t>
  </si>
  <si>
    <t>11/07/87</t>
  </si>
  <si>
    <t>Maurice, Shana</t>
  </si>
  <si>
    <t>11/22/77</t>
  </si>
  <si>
    <t>5/31/2011</t>
  </si>
  <si>
    <t>Carthy, B'rigit</t>
  </si>
  <si>
    <t>05/21/87</t>
  </si>
  <si>
    <t>Mckenna, Sandy</t>
  </si>
  <si>
    <t>01/07/87</t>
  </si>
  <si>
    <t>McKinzie, Jac</t>
  </si>
  <si>
    <t>07/01/84</t>
  </si>
  <si>
    <t>Meads, Elizabeth</t>
  </si>
  <si>
    <t>05/30/68</t>
  </si>
  <si>
    <t>11/11/2016</t>
  </si>
  <si>
    <t>2/5/2016</t>
  </si>
  <si>
    <t>Medeiros, Jennifer</t>
  </si>
  <si>
    <t>Miller, Brannon</t>
  </si>
  <si>
    <t>08/10/81</t>
  </si>
  <si>
    <t>yes</t>
  </si>
  <si>
    <t>Hispanic</t>
  </si>
  <si>
    <t>8/16/2012</t>
  </si>
  <si>
    <t>Miller, Ned</t>
  </si>
  <si>
    <t>06/29/85</t>
  </si>
  <si>
    <t>9/4/2014</t>
  </si>
  <si>
    <t>1/14/2013</t>
  </si>
  <si>
    <t>Monkfish, Erasumus</t>
  </si>
  <si>
    <t>08/17/92</t>
  </si>
  <si>
    <t>Monroe, Peter</t>
  </si>
  <si>
    <t>IT Manager - Infra</t>
  </si>
  <si>
    <t>10/05/86</t>
  </si>
  <si>
    <t>2/15/2012</t>
  </si>
  <si>
    <t>Monterro, Luisa</t>
  </si>
  <si>
    <t>04/24/70</t>
  </si>
  <si>
    <t>5/13/2013</t>
  </si>
  <si>
    <t>Moran, Patrick</t>
  </si>
  <si>
    <t>12/03/76</t>
  </si>
  <si>
    <t>Morway, Tanya</t>
  </si>
  <si>
    <t>04/04/79</t>
  </si>
  <si>
    <t>Motlagh,  Dawn</t>
  </si>
  <si>
    <t>07/07/84</t>
  </si>
  <si>
    <t xml:space="preserve">Moumanil, Maliki </t>
  </si>
  <si>
    <t>12/01/74</t>
  </si>
  <si>
    <t>Myers, Michael</t>
  </si>
  <si>
    <t>04/18/80</t>
  </si>
  <si>
    <t>Navathe, Kurt</t>
  </si>
  <si>
    <t>04/25/70</t>
  </si>
  <si>
    <t>2/10/2017</t>
  </si>
  <si>
    <t>Ndzi, Colombui</t>
  </si>
  <si>
    <t>05/02/89</t>
  </si>
  <si>
    <t>3/2/2013</t>
  </si>
  <si>
    <t>Ndzi, Horia</t>
  </si>
  <si>
    <t>03/28/83</t>
  </si>
  <si>
    <t>5/25/2016</t>
  </si>
  <si>
    <t>3/6/2016</t>
  </si>
  <si>
    <t xml:space="preserve">Newman, Richard </t>
  </si>
  <si>
    <t>04/08/77</t>
  </si>
  <si>
    <t xml:space="preserve">Ngodup, Shari </t>
  </si>
  <si>
    <t>06/03/67</t>
  </si>
  <si>
    <t>Nguyen, Dheepa</t>
  </si>
  <si>
    <t>GA</t>
  </si>
  <si>
    <t>03/31/89</t>
  </si>
  <si>
    <t>Nguyen, Lei-Ming</t>
  </si>
  <si>
    <t>Nowlan, Kristie</t>
  </si>
  <si>
    <t>11/23/85</t>
  </si>
  <si>
    <t>O'hare, Lynn</t>
  </si>
  <si>
    <t>09/30/80</t>
  </si>
  <si>
    <t>5/1/2018</t>
  </si>
  <si>
    <t>3/9/2018</t>
  </si>
  <si>
    <t xml:space="preserve">Oliver, Brooke </t>
  </si>
  <si>
    <t>02/11/52</t>
  </si>
  <si>
    <t>7/2/2013</t>
  </si>
  <si>
    <t>Onque, Jasmine</t>
  </si>
  <si>
    <t>FL</t>
  </si>
  <si>
    <t>05/11/90</t>
  </si>
  <si>
    <t>Osturnka, Adeel</t>
  </si>
  <si>
    <t>12/11/76</t>
  </si>
  <si>
    <t>Owad, Clinton</t>
  </si>
  <si>
    <t>11/24/79</t>
  </si>
  <si>
    <t>Ozark, Travis</t>
  </si>
  <si>
    <t>NC</t>
  </si>
  <si>
    <t>05/19/82</t>
  </si>
  <si>
    <t>Panjwani, Nina</t>
  </si>
  <si>
    <t>05/01/79</t>
  </si>
  <si>
    <t>2/7/2011</t>
  </si>
  <si>
    <t>1/12/2014</t>
  </si>
  <si>
    <t>Patronick, Lucas</t>
  </si>
  <si>
    <t>02/20/79</t>
  </si>
  <si>
    <t>9/7/2015</t>
  </si>
  <si>
    <t>8/16/2015</t>
  </si>
  <si>
    <t>Pearson, Randall</t>
  </si>
  <si>
    <t>09/05/84</t>
  </si>
  <si>
    <t>12/1/2014</t>
  </si>
  <si>
    <t>1/16/2016</t>
  </si>
  <si>
    <t>Smith, Martin</t>
  </si>
  <si>
    <t>03/17/88</t>
  </si>
  <si>
    <t>12/28/2017</t>
  </si>
  <si>
    <t>Pelletier, Ermine</t>
  </si>
  <si>
    <t>07/18/89</t>
  </si>
  <si>
    <t>9/15/2015</t>
  </si>
  <si>
    <t>2/6/2015</t>
  </si>
  <si>
    <t>Perry, Shakira</t>
  </si>
  <si>
    <t>07/20/86</t>
  </si>
  <si>
    <t>10/25/2015</t>
  </si>
  <si>
    <t>medical issues</t>
  </si>
  <si>
    <t>5/13/2014</t>
  </si>
  <si>
    <t>Peters, Lauren</t>
  </si>
  <si>
    <t>08/17/86</t>
  </si>
  <si>
    <t>2/4/2013</t>
  </si>
  <si>
    <t>1/10/2013</t>
  </si>
  <si>
    <t xml:space="preserve">Peterson, Ebonee  </t>
  </si>
  <si>
    <t>05/09/77</t>
  </si>
  <si>
    <t>10/25/2010</t>
  </si>
  <si>
    <t>5/18/2016</t>
  </si>
  <si>
    <t>3/5/2015</t>
  </si>
  <si>
    <t xml:space="preserve">Petingill, Shana  </t>
  </si>
  <si>
    <t>03/10/79</t>
  </si>
  <si>
    <t>Petrowsky, Thelma</t>
  </si>
  <si>
    <t>09/16/84</t>
  </si>
  <si>
    <t>Pham, Hong</t>
  </si>
  <si>
    <t>03/06/88</t>
  </si>
  <si>
    <t>11/30/2012</t>
  </si>
  <si>
    <t xml:space="preserve">Pitt, Brad </t>
  </si>
  <si>
    <t>11/23/81</t>
  </si>
  <si>
    <t>11/5/2007</t>
  </si>
  <si>
    <t>Potts, Xana</t>
  </si>
  <si>
    <t>KY</t>
  </si>
  <si>
    <t>08/29/88</t>
  </si>
  <si>
    <t>Power, Morissa</t>
  </si>
  <si>
    <t>10/15/84</t>
  </si>
  <si>
    <t>6/4/2018</t>
  </si>
  <si>
    <t>4/2/2018</t>
  </si>
  <si>
    <t xml:space="preserve">Punjabhi, Louis  </t>
  </si>
  <si>
    <t>06/19/61</t>
  </si>
  <si>
    <t>Purinton, Janine</t>
  </si>
  <si>
    <t>09/22/70</t>
  </si>
  <si>
    <t>4/2/2013</t>
  </si>
  <si>
    <t>Quinn, Sean</t>
  </si>
  <si>
    <t>11/06/84</t>
  </si>
  <si>
    <t>8/15/2015</t>
  </si>
  <si>
    <t>4/19/2014</t>
  </si>
  <si>
    <t>Rachael, Maggie</t>
  </si>
  <si>
    <t>05/12/80</t>
  </si>
  <si>
    <t>Rarrick, Quinn</t>
  </si>
  <si>
    <t>12/31/84</t>
  </si>
  <si>
    <t>4/7/2018</t>
  </si>
  <si>
    <t>2/4/2018</t>
  </si>
  <si>
    <t>Ren, Kylo</t>
  </si>
  <si>
    <t>ID</t>
  </si>
  <si>
    <t>10/12/54</t>
  </si>
  <si>
    <t>Rhoads, Thomas</t>
  </si>
  <si>
    <t>07/22/82</t>
  </si>
  <si>
    <t>1/15/2016</t>
  </si>
  <si>
    <t xml:space="preserve">Rivera, Haley  </t>
  </si>
  <si>
    <t>01/12/73</t>
  </si>
  <si>
    <t>Roberson, May</t>
  </si>
  <si>
    <t>09/05/81</t>
  </si>
  <si>
    <t>10/22/2011</t>
  </si>
  <si>
    <t>Robertson, Peter</t>
  </si>
  <si>
    <t>07/03/72</t>
  </si>
  <si>
    <t>2/8/2012</t>
  </si>
  <si>
    <t>1/6/2012</t>
  </si>
  <si>
    <t xml:space="preserve">Robinson, Alain  </t>
  </si>
  <si>
    <t>01/07/74</t>
  </si>
  <si>
    <t>1/26/2016</t>
  </si>
  <si>
    <t>1/10/2015</t>
  </si>
  <si>
    <t>Robinson, Cherly</t>
  </si>
  <si>
    <t>01/07/85</t>
  </si>
  <si>
    <t>4/5/2016</t>
  </si>
  <si>
    <t>Robinson, Elias</t>
  </si>
  <si>
    <t>01/28/85</t>
  </si>
  <si>
    <t xml:space="preserve">Roby, Lori </t>
  </si>
  <si>
    <t>10/11/81</t>
  </si>
  <si>
    <t>Roehrich, Bianca</t>
  </si>
  <si>
    <t>Principal Data Architect</t>
  </si>
  <si>
    <t>05/27/73</t>
  </si>
  <si>
    <t>11/10/2018</t>
  </si>
  <si>
    <t>2/13/2018</t>
  </si>
  <si>
    <t>Roper, Katie</t>
  </si>
  <si>
    <t>Data Architect</t>
  </si>
  <si>
    <t>11/21/72</t>
  </si>
  <si>
    <t>1/7/2017</t>
  </si>
  <si>
    <t xml:space="preserve">Rose, Ashley  </t>
  </si>
  <si>
    <t>12/05/74</t>
  </si>
  <si>
    <t>Rossetti, Bruno</t>
  </si>
  <si>
    <t>03/18/87</t>
  </si>
  <si>
    <t>8/13/2018</t>
  </si>
  <si>
    <t>7/2/2018</t>
  </si>
  <si>
    <t>Roup,Simon</t>
  </si>
  <si>
    <t>IT Manager - DB</t>
  </si>
  <si>
    <t>04/05/73</t>
  </si>
  <si>
    <t>1/20/2013</t>
  </si>
  <si>
    <t>Ruiz, Ricardo</t>
  </si>
  <si>
    <t>01/04/64</t>
  </si>
  <si>
    <t>1/4/2015</t>
  </si>
  <si>
    <t>Saada, Adell</t>
  </si>
  <si>
    <t>07/24/86</t>
  </si>
  <si>
    <t>Saar-Beckles, Melinda</t>
  </si>
  <si>
    <t>06/06/68</t>
  </si>
  <si>
    <t>7/4/2016</t>
  </si>
  <si>
    <t xml:space="preserve">Sadki, Nore  </t>
  </si>
  <si>
    <t>12/21/74</t>
  </si>
  <si>
    <t>7/30/2018</t>
  </si>
  <si>
    <t>2/5/2018</t>
  </si>
  <si>
    <t>Sahoo, Adil</t>
  </si>
  <si>
    <t>04/26/86</t>
  </si>
  <si>
    <t>Salter, Jason</t>
  </si>
  <si>
    <t xml:space="preserve">Data Analyst </t>
  </si>
  <si>
    <t>12/17/87</t>
  </si>
  <si>
    <t>10/31/2015</t>
  </si>
  <si>
    <t>4/20/2015</t>
  </si>
  <si>
    <t>Sander, Kamrin</t>
  </si>
  <si>
    <t>07/10/88</t>
  </si>
  <si>
    <t>Sewkumar, Nori</t>
  </si>
  <si>
    <t>03/10/75</t>
  </si>
  <si>
    <t xml:space="preserve">Shepard, Anita </t>
  </si>
  <si>
    <t>04/14/81</t>
  </si>
  <si>
    <t>9/30/2014</t>
  </si>
  <si>
    <t>Shields, Seffi</t>
  </si>
  <si>
    <t>08/24/85</t>
  </si>
  <si>
    <t>Simard, Kramer</t>
  </si>
  <si>
    <t>02/08/70</t>
  </si>
  <si>
    <t xml:space="preserve">Singh, Nan </t>
  </si>
  <si>
    <t>05/19/88</t>
  </si>
  <si>
    <t>5/1/2015</t>
  </si>
  <si>
    <t>Sloan, Constance</t>
  </si>
  <si>
    <t>11/25/87</t>
  </si>
  <si>
    <t>10/26/2009</t>
  </si>
  <si>
    <t>4/8/2015</t>
  </si>
  <si>
    <t>4/2/2015</t>
  </si>
  <si>
    <t>Smith, Joe</t>
  </si>
  <si>
    <t>10/30/63</t>
  </si>
  <si>
    <t>Smith, John</t>
  </si>
  <si>
    <t>08/16/84</t>
  </si>
  <si>
    <t>5/18/2014</t>
  </si>
  <si>
    <t>Smith, Leigh Ann</t>
  </si>
  <si>
    <t>9/25/2013</t>
  </si>
  <si>
    <t>8/15/2013</t>
  </si>
  <si>
    <t>Smith, Sade</t>
  </si>
  <si>
    <t>02/02/65</t>
  </si>
  <si>
    <t xml:space="preserve">Soto, Julia </t>
  </si>
  <si>
    <t>03/12/73</t>
  </si>
  <si>
    <t>6/10/2011</t>
  </si>
  <si>
    <t>Soze, Keyser</t>
  </si>
  <si>
    <t>02/09/83</t>
  </si>
  <si>
    <t xml:space="preserve">Sparks, Taylor  </t>
  </si>
  <si>
    <t>07/20/68</t>
  </si>
  <si>
    <t>Spirea, Kelley</t>
  </si>
  <si>
    <t>09/30/75</t>
  </si>
  <si>
    <t>10/2/2012</t>
  </si>
  <si>
    <t>Squatrito, Kristen</t>
  </si>
  <si>
    <t>03/26/73</t>
  </si>
  <si>
    <t>6/29/2015</t>
  </si>
  <si>
    <t>3/2/2015</t>
  </si>
  <si>
    <t>Stanford,Barbara  M</t>
  </si>
  <si>
    <t>08/25/82</t>
  </si>
  <si>
    <t>Stansfield, Norman</t>
  </si>
  <si>
    <t>NV</t>
  </si>
  <si>
    <t>05/09/74</t>
  </si>
  <si>
    <t xml:space="preserve">Steans, Tyrone  </t>
  </si>
  <si>
    <t>09/01/86</t>
  </si>
  <si>
    <t>Stoica, Rick</t>
  </si>
  <si>
    <t>03/14/85</t>
  </si>
  <si>
    <t>Strong, Caitrin</t>
  </si>
  <si>
    <t>MT</t>
  </si>
  <si>
    <t>05/12/89</t>
  </si>
  <si>
    <t>9/27/2010</t>
  </si>
  <si>
    <t xml:space="preserve">Sullivan, Kissy </t>
  </si>
  <si>
    <t>03/28/78</t>
  </si>
  <si>
    <t>1/8/2009</t>
  </si>
  <si>
    <t>Sullivan, Timothy</t>
  </si>
  <si>
    <t>10/07/82</t>
  </si>
  <si>
    <t>Sutwell, Barbara</t>
  </si>
  <si>
    <t>08/15/68</t>
  </si>
  <si>
    <t>Szabo, Andrew</t>
  </si>
  <si>
    <t>05/06/83</t>
  </si>
  <si>
    <t>Tannen, Biff</t>
  </si>
  <si>
    <t>10/24/87</t>
  </si>
  <si>
    <t xml:space="preserve">Tavares, Desiree  </t>
  </si>
  <si>
    <t>04/03/75</t>
  </si>
  <si>
    <t>4/27/2009</t>
  </si>
  <si>
    <t xml:space="preserve">Tejeda, Lenora </t>
  </si>
  <si>
    <t>05/24/53</t>
  </si>
  <si>
    <t>7/8/2017</t>
  </si>
  <si>
    <t>4/18/2017</t>
  </si>
  <si>
    <t xml:space="preserve">Terry, Sharlene </t>
  </si>
  <si>
    <t>OR</t>
  </si>
  <si>
    <t>05/07/65</t>
  </si>
  <si>
    <t>Theamstern, Sophia</t>
  </si>
  <si>
    <t>05/09/65</t>
  </si>
  <si>
    <t>9/5/2016</t>
  </si>
  <si>
    <t>3/2/2016</t>
  </si>
  <si>
    <t>Thibaud, Kenneth</t>
  </si>
  <si>
    <t>09/16/75</t>
  </si>
  <si>
    <t>6/25/2007</t>
  </si>
  <si>
    <t>7/14/2010</t>
  </si>
  <si>
    <t>Tippett, Jeanette</t>
  </si>
  <si>
    <t>06/05/67</t>
  </si>
  <si>
    <t>2/18/2013</t>
  </si>
  <si>
    <t>Torrence, Jack</t>
  </si>
  <si>
    <t>ND</t>
  </si>
  <si>
    <t>01/15/68</t>
  </si>
  <si>
    <t>1/9/2006</t>
  </si>
  <si>
    <t>Trang, Mei</t>
  </si>
  <si>
    <t>05/16/83</t>
  </si>
  <si>
    <t xml:space="preserve">Tredinnick, Neville </t>
  </si>
  <si>
    <t>05/05/88</t>
  </si>
  <si>
    <t>2/12/2016</t>
  </si>
  <si>
    <t>True, Edward</t>
  </si>
  <si>
    <t>06/14/83</t>
  </si>
  <si>
    <t>4/15/2018</t>
  </si>
  <si>
    <t>2/12/2017</t>
  </si>
  <si>
    <t>Trzeciak, Cybil</t>
  </si>
  <si>
    <t>03/15/85</t>
  </si>
  <si>
    <t>7/2/2014</t>
  </si>
  <si>
    <t>Turpin, Jumil</t>
  </si>
  <si>
    <t>03/31/69</t>
  </si>
  <si>
    <t>Valentin,Jackie</t>
  </si>
  <si>
    <t>AZ</t>
  </si>
  <si>
    <t>05/23/91</t>
  </si>
  <si>
    <t xml:space="preserve">Veera, Abdellah </t>
  </si>
  <si>
    <t>01/31/87</t>
  </si>
  <si>
    <t>Vega, Vincent</t>
  </si>
  <si>
    <t>10/10/68</t>
  </si>
  <si>
    <t>8/1/2011</t>
  </si>
  <si>
    <t>Villanueva, Noah</t>
  </si>
  <si>
    <t>ME</t>
  </si>
  <si>
    <t>07/11/89</t>
  </si>
  <si>
    <t>Voldemort, Lord</t>
  </si>
  <si>
    <t>08/07/86</t>
  </si>
  <si>
    <t>2/22/2017</t>
  </si>
  <si>
    <t>Volk, Colleen</t>
  </si>
  <si>
    <t>06/03/86</t>
  </si>
  <si>
    <t>2/8/2016</t>
  </si>
  <si>
    <t>gross misconduct</t>
  </si>
  <si>
    <t>2/1/2015</t>
  </si>
  <si>
    <t>Von Massenbach, Anna</t>
  </si>
  <si>
    <t>04/06/85</t>
  </si>
  <si>
    <t>7/5/2015</t>
  </si>
  <si>
    <t>Walker, Roger</t>
  </si>
  <si>
    <t>02/10/76</t>
  </si>
  <si>
    <t>Wallace, Courtney  E</t>
  </si>
  <si>
    <t>11/14/55</t>
  </si>
  <si>
    <t>1/2/2012</t>
  </si>
  <si>
    <t>Wallace, Theresa</t>
  </si>
  <si>
    <t>08/02/80</t>
  </si>
  <si>
    <t>9/1/2015</t>
  </si>
  <si>
    <t>9/5/2014</t>
  </si>
  <si>
    <t>Wang, Charlie</t>
  </si>
  <si>
    <t>07/08/81</t>
  </si>
  <si>
    <t>Warfield, Sarah</t>
  </si>
  <si>
    <t>05/02/78</t>
  </si>
  <si>
    <t>2/5/2019</t>
  </si>
  <si>
    <t>Whittier, Scott</t>
  </si>
  <si>
    <t>05/24/87</t>
  </si>
  <si>
    <t>5/15/2014</t>
  </si>
  <si>
    <t>Wilber, Barry</t>
  </si>
  <si>
    <t>Wilkes, Annie</t>
  </si>
  <si>
    <t>07/30/83</t>
  </si>
  <si>
    <t>2/6/2011</t>
  </si>
  <si>
    <t xml:space="preserve">Williams, Jacquelyn  </t>
  </si>
  <si>
    <t>10/02/69</t>
  </si>
  <si>
    <t>6/27/2015</t>
  </si>
  <si>
    <t>6/2/2014</t>
  </si>
  <si>
    <t xml:space="preserve">Winthrop, Jordan  </t>
  </si>
  <si>
    <t>11/07/58</t>
  </si>
  <si>
    <t>2/21/2016</t>
  </si>
  <si>
    <t>1/19/2016</t>
  </si>
  <si>
    <t>Wolk, Hang  T</t>
  </si>
  <si>
    <t>04/20/85</t>
  </si>
  <si>
    <t>Woodson, Jason</t>
  </si>
  <si>
    <t>05/11/85</t>
  </si>
  <si>
    <t xml:space="preserve">Ybarra, Catherine </t>
  </si>
  <si>
    <t>05/04/82</t>
  </si>
  <si>
    <t>9/2/2008</t>
  </si>
  <si>
    <t>9/29/2015</t>
  </si>
  <si>
    <t>9/2/2015</t>
  </si>
  <si>
    <t>Zamora, Jennifer</t>
  </si>
  <si>
    <t>CIO</t>
  </si>
  <si>
    <t>08/30/79</t>
  </si>
  <si>
    <t>4/10/2010</t>
  </si>
  <si>
    <t>Zhou, Julia</t>
  </si>
  <si>
    <t>02/24/79</t>
  </si>
  <si>
    <t>Zima, Colleen</t>
  </si>
  <si>
    <t>08/17/78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</si>
</sst>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charset val="128"/>
      <scheme val="minor"/>
    </font>
    <font>
      <sz val="11"/>
      <color theme="1"/>
      <name val="Calibri"/>
      <family val="2"/>
      <charset val="128"/>
      <scheme val="minor"/>
    </font>
    <font>
      <sz val="18"/>
      <color theme="3"/>
      <name val="Calibri Light"/>
      <family val="2"/>
      <charset val="128"/>
      <scheme val="major"/>
    </font>
    <font>
      <b/>
      <sz val="15"/>
      <color theme="3"/>
      <name val="Calibri"/>
      <family val="2"/>
      <charset val="128"/>
      <scheme val="minor"/>
    </font>
    <font>
      <b/>
      <sz val="13"/>
      <color theme="3"/>
      <name val="Calibri"/>
      <family val="2"/>
      <charset val="128"/>
      <scheme val="minor"/>
    </font>
    <font>
      <b/>
      <sz val="11"/>
      <color theme="3"/>
      <name val="Calibri"/>
      <family val="2"/>
      <charset val="128"/>
      <scheme val="minor"/>
    </font>
    <font>
      <sz val="11"/>
      <color rgb="FF006100"/>
      <name val="Calibri"/>
      <family val="2"/>
      <charset val="128"/>
      <scheme val="minor"/>
    </font>
    <font>
      <sz val="11"/>
      <color rgb="FF9C0006"/>
      <name val="Calibri"/>
      <family val="2"/>
      <charset val="128"/>
      <scheme val="minor"/>
    </font>
    <font>
      <sz val="11"/>
      <color rgb="FF9C5700"/>
      <name val="Calibri"/>
      <family val="2"/>
      <charset val="128"/>
      <scheme val="minor"/>
    </font>
    <font>
      <sz val="11"/>
      <color rgb="FF3F3F76"/>
      <name val="Calibri"/>
      <family val="2"/>
      <charset val="128"/>
      <scheme val="minor"/>
    </font>
    <font>
      <b/>
      <sz val="11"/>
      <color rgb="FF3F3F3F"/>
      <name val="Calibri"/>
      <family val="2"/>
      <charset val="128"/>
      <scheme val="minor"/>
    </font>
    <font>
      <b/>
      <sz val="11"/>
      <color rgb="FFFA7D00"/>
      <name val="Calibri"/>
      <family val="2"/>
      <charset val="128"/>
      <scheme val="minor"/>
    </font>
    <font>
      <sz val="11"/>
      <color rgb="FFFA7D00"/>
      <name val="Calibri"/>
      <family val="2"/>
      <charset val="128"/>
      <scheme val="minor"/>
    </font>
    <font>
      <b/>
      <sz val="11"/>
      <color theme="0"/>
      <name val="Calibri"/>
      <family val="2"/>
      <charset val="128"/>
      <scheme val="minor"/>
    </font>
    <font>
      <sz val="11"/>
      <color rgb="FFFF0000"/>
      <name val="Calibri"/>
      <family val="2"/>
      <charset val="128"/>
      <scheme val="minor"/>
    </font>
    <font>
      <i/>
      <sz val="11"/>
      <color rgb="FF7F7F7F"/>
      <name val="Calibri"/>
      <family val="2"/>
      <charset val="128"/>
      <scheme val="minor"/>
    </font>
    <font>
      <b/>
      <sz val="11"/>
      <color theme="1"/>
      <name val="Calibri"/>
      <family val="2"/>
      <charset val="128"/>
      <scheme val="minor"/>
    </font>
    <font>
      <sz val="11"/>
      <color theme="0"/>
      <name val="Calibri"/>
      <family val="2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E18A81-03DE-4974-90A5-BBA599A09B84}">
  <dimension ref="A1:AS312"/>
  <sheetViews>
    <sheetView tabSelected="1" topLeftCell="AJ41" workbookViewId="0">
      <selection activeCell="AM2" sqref="AM2"/>
    </sheetView>
  </sheetViews>
  <sheetFormatPr defaultRowHeight="15"/>
  <cols>
    <col min="22" max="22" width="10.85546875" customWidth="1"/>
    <col min="23" max="23" width="12.7109375" customWidth="1"/>
    <col min="38" max="38" width="19.5703125" customWidth="1"/>
    <col min="43" max="43" width="14.85546875" customWidth="1"/>
    <col min="44" max="44" width="12.5703125" customWidth="1"/>
    <col min="45" max="45" width="18.7109375" customWidth="1"/>
  </cols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 t="s">
        <v>45</v>
      </c>
      <c r="B2">
        <v>10026</v>
      </c>
      <c r="C2">
        <v>0</v>
      </c>
      <c r="D2">
        <v>0</v>
      </c>
      <c r="E2">
        <v>1</v>
      </c>
      <c r="F2">
        <v>1</v>
      </c>
      <c r="G2">
        <v>5</v>
      </c>
      <c r="H2">
        <v>4</v>
      </c>
      <c r="I2">
        <v>0</v>
      </c>
      <c r="J2">
        <v>62506</v>
      </c>
      <c r="K2">
        <v>0</v>
      </c>
      <c r="L2">
        <v>19</v>
      </c>
      <c r="M2" t="s">
        <v>46</v>
      </c>
      <c r="N2" t="s">
        <v>47</v>
      </c>
      <c r="O2">
        <v>1960</v>
      </c>
      <c r="P2" t="s">
        <v>48</v>
      </c>
      <c r="Q2" t="s">
        <v>49</v>
      </c>
      <c r="R2" t="s">
        <v>50</v>
      </c>
      <c r="S2" t="s">
        <v>51</v>
      </c>
      <c r="T2" t="s">
        <v>52</v>
      </c>
      <c r="U2" t="s">
        <v>53</v>
      </c>
      <c r="V2" t="s">
        <v>54</v>
      </c>
      <c r="W2" s="1">
        <f>DATE(RIGHT(V2,4),LEFT(V2,FIND("/",V2)-1),MID(V2,FIND("/",V2)+1,FIND("/",V2,FIND("/",V2)+1)-FIND("/",V2)-1))</f>
        <v>40729</v>
      </c>
      <c r="Y2" t="s">
        <v>55</v>
      </c>
      <c r="Z2" t="s">
        <v>56</v>
      </c>
      <c r="AA2" t="s">
        <v>57</v>
      </c>
      <c r="AB2" t="s">
        <v>58</v>
      </c>
      <c r="AC2">
        <v>22</v>
      </c>
      <c r="AD2" t="s">
        <v>59</v>
      </c>
      <c r="AE2" t="s">
        <v>60</v>
      </c>
      <c r="AF2">
        <v>4.5999999999999996</v>
      </c>
      <c r="AG2">
        <v>5</v>
      </c>
      <c r="AH2">
        <v>0</v>
      </c>
      <c r="AI2" t="s">
        <v>61</v>
      </c>
      <c r="AJ2">
        <v>0</v>
      </c>
      <c r="AK2">
        <v>1</v>
      </c>
      <c r="AL2" t="str">
        <f>_xlfn.TEXTJOIN("",TRUE,A2)</f>
        <v>Adinolfi, Wilson  K</v>
      </c>
      <c r="AM2" t="str">
        <f>LEFT(A2,3)</f>
        <v>Adi</v>
      </c>
      <c r="AN2" t="str">
        <f>RIGHT(A2,3)</f>
        <v xml:space="preserve">  K</v>
      </c>
      <c r="AO2">
        <f>YEAR(W2)</f>
        <v>2011</v>
      </c>
      <c r="AP2">
        <f>MONTH(W2)</f>
        <v>7</v>
      </c>
      <c r="AQ2">
        <f ca="1">DATEDIF(W2,TODAY(),"Y")</f>
        <v>15</v>
      </c>
      <c r="AR2" s="1">
        <f ca="1">TODAY()</f>
        <v>46222</v>
      </c>
      <c r="AS2" t="str">
        <f ca="1">IF(AQ2&lt;1,"New",IF(AQ2&lt;=3,"Mid","Senior"))</f>
        <v>Senior</v>
      </c>
    </row>
    <row r="3" spans="1:45">
      <c r="A3" t="s">
        <v>62</v>
      </c>
      <c r="B3">
        <v>10084</v>
      </c>
      <c r="C3">
        <v>1</v>
      </c>
      <c r="D3">
        <v>1</v>
      </c>
      <c r="E3">
        <v>1</v>
      </c>
      <c r="F3">
        <v>5</v>
      </c>
      <c r="G3">
        <v>3</v>
      </c>
      <c r="H3">
        <v>3</v>
      </c>
      <c r="I3">
        <v>0</v>
      </c>
      <c r="J3">
        <v>104437</v>
      </c>
      <c r="K3">
        <v>1</v>
      </c>
      <c r="L3">
        <v>27</v>
      </c>
      <c r="M3" t="s">
        <v>63</v>
      </c>
      <c r="N3" t="s">
        <v>47</v>
      </c>
      <c r="O3">
        <v>2148</v>
      </c>
      <c r="P3" t="s">
        <v>64</v>
      </c>
      <c r="Q3" t="s">
        <v>49</v>
      </c>
      <c r="R3" t="s">
        <v>65</v>
      </c>
      <c r="S3" t="s">
        <v>51</v>
      </c>
      <c r="T3" t="s">
        <v>52</v>
      </c>
      <c r="U3" t="s">
        <v>53</v>
      </c>
      <c r="V3" t="s">
        <v>66</v>
      </c>
      <c r="W3" s="1">
        <f t="shared" ref="W3:W66" si="0">DATE(RIGHT(V3,4),LEFT(V3,FIND("/",V3)-1),MID(V3,FIND("/",V3)+1,FIND("/",V3,FIND("/",V3)+1)-FIND("/",V3)-1))</f>
        <v>42093</v>
      </c>
      <c r="X3" t="s">
        <v>67</v>
      </c>
      <c r="Y3" t="s">
        <v>68</v>
      </c>
      <c r="Z3" t="s">
        <v>69</v>
      </c>
      <c r="AA3" t="s">
        <v>70</v>
      </c>
      <c r="AB3" t="s">
        <v>71</v>
      </c>
      <c r="AC3">
        <v>4</v>
      </c>
      <c r="AD3" t="s">
        <v>72</v>
      </c>
      <c r="AE3" t="s">
        <v>73</v>
      </c>
      <c r="AF3">
        <v>4.96</v>
      </c>
      <c r="AG3">
        <v>3</v>
      </c>
      <c r="AH3">
        <v>6</v>
      </c>
      <c r="AI3" t="s">
        <v>74</v>
      </c>
      <c r="AJ3">
        <v>0</v>
      </c>
      <c r="AK3">
        <v>17</v>
      </c>
      <c r="AL3" t="str">
        <f t="shared" ref="AL3:AL50" si="1">_xlfn.TEXTJOIN("",TRUE,A3)</f>
        <v xml:space="preserve">Ait Sidi, Karthikeyan   </v>
      </c>
      <c r="AM3" t="str">
        <f t="shared" ref="AM3:AM50" si="2">LEFT(A3,3)</f>
        <v>Ait</v>
      </c>
      <c r="AN3" t="str">
        <f t="shared" ref="AN3:AN50" si="3">RIGHT(A3,3)</f>
        <v xml:space="preserve">   </v>
      </c>
      <c r="AO3">
        <f t="shared" ref="AO3:AO50" si="4">YEAR(W3)</f>
        <v>2015</v>
      </c>
      <c r="AP3">
        <f t="shared" ref="AP3:AP50" si="5">MONTH(W3)</f>
        <v>3</v>
      </c>
      <c r="AQ3">
        <f t="shared" ref="AQ3:AQ50" ca="1" si="6">DATEDIF(W3,TODAY(),"Y")</f>
        <v>11</v>
      </c>
      <c r="AR3" s="1">
        <f t="shared" ref="AR3:AR50" ca="1" si="7">TODAY()</f>
        <v>46222</v>
      </c>
      <c r="AS3" t="str">
        <f t="shared" ref="AS3:AS50" ca="1" si="8">IF(AQ3&lt;1,"New",IF(AQ3&lt;=3,"Mid","Senior"))</f>
        <v>Senior</v>
      </c>
    </row>
    <row r="4" spans="1:45">
      <c r="A4" t="s">
        <v>75</v>
      </c>
      <c r="B4">
        <v>10196</v>
      </c>
      <c r="C4">
        <v>1</v>
      </c>
      <c r="D4">
        <v>1</v>
      </c>
      <c r="E4">
        <v>0</v>
      </c>
      <c r="F4">
        <v>5</v>
      </c>
      <c r="G4">
        <v>5</v>
      </c>
      <c r="H4">
        <v>3</v>
      </c>
      <c r="I4">
        <v>0</v>
      </c>
      <c r="J4">
        <v>64955</v>
      </c>
      <c r="K4">
        <v>1</v>
      </c>
      <c r="L4">
        <v>20</v>
      </c>
      <c r="M4" t="s">
        <v>76</v>
      </c>
      <c r="N4" t="s">
        <v>47</v>
      </c>
      <c r="O4">
        <v>1810</v>
      </c>
      <c r="P4" t="s">
        <v>77</v>
      </c>
      <c r="Q4" t="s">
        <v>78</v>
      </c>
      <c r="R4" t="s">
        <v>65</v>
      </c>
      <c r="S4" t="s">
        <v>51</v>
      </c>
      <c r="T4" t="s">
        <v>52</v>
      </c>
      <c r="U4" t="s">
        <v>53</v>
      </c>
      <c r="V4" t="s">
        <v>54</v>
      </c>
      <c r="W4" s="1">
        <f t="shared" si="0"/>
        <v>40729</v>
      </c>
      <c r="X4" t="s">
        <v>79</v>
      </c>
      <c r="Y4" t="s">
        <v>80</v>
      </c>
      <c r="Z4" t="s">
        <v>69</v>
      </c>
      <c r="AA4" t="s">
        <v>57</v>
      </c>
      <c r="AB4" t="s">
        <v>81</v>
      </c>
      <c r="AC4">
        <v>20</v>
      </c>
      <c r="AD4" t="s">
        <v>59</v>
      </c>
      <c r="AE4" t="s">
        <v>73</v>
      </c>
      <c r="AF4">
        <v>3.02</v>
      </c>
      <c r="AG4">
        <v>3</v>
      </c>
      <c r="AH4">
        <v>0</v>
      </c>
      <c r="AI4" t="s">
        <v>82</v>
      </c>
      <c r="AJ4">
        <v>0</v>
      </c>
      <c r="AK4">
        <v>3</v>
      </c>
      <c r="AL4" t="str">
        <f t="shared" si="1"/>
        <v>Akinkuolie, Sarah</v>
      </c>
      <c r="AM4" t="str">
        <f t="shared" si="2"/>
        <v>Aki</v>
      </c>
      <c r="AN4" t="str">
        <f t="shared" si="3"/>
        <v>rah</v>
      </c>
      <c r="AO4">
        <f t="shared" si="4"/>
        <v>2011</v>
      </c>
      <c r="AP4">
        <f t="shared" si="5"/>
        <v>7</v>
      </c>
      <c r="AQ4">
        <f t="shared" ca="1" si="6"/>
        <v>15</v>
      </c>
      <c r="AR4" s="1">
        <f t="shared" ca="1" si="7"/>
        <v>46222</v>
      </c>
      <c r="AS4" t="str">
        <f t="shared" ca="1" si="8"/>
        <v>Senior</v>
      </c>
    </row>
    <row r="5" spans="1:45">
      <c r="A5" t="s">
        <v>83</v>
      </c>
      <c r="B5">
        <v>10088</v>
      </c>
      <c r="C5">
        <v>1</v>
      </c>
      <c r="D5">
        <v>1</v>
      </c>
      <c r="E5">
        <v>0</v>
      </c>
      <c r="F5">
        <v>1</v>
      </c>
      <c r="G5">
        <v>5</v>
      </c>
      <c r="H5">
        <v>3</v>
      </c>
      <c r="I5">
        <v>0</v>
      </c>
      <c r="J5">
        <v>64991</v>
      </c>
      <c r="K5">
        <v>0</v>
      </c>
      <c r="L5">
        <v>19</v>
      </c>
      <c r="M5" t="s">
        <v>46</v>
      </c>
      <c r="N5" t="s">
        <v>47</v>
      </c>
      <c r="O5">
        <v>1886</v>
      </c>
      <c r="P5" t="s">
        <v>84</v>
      </c>
      <c r="Q5" t="s">
        <v>78</v>
      </c>
      <c r="R5" t="s">
        <v>65</v>
      </c>
      <c r="S5" t="s">
        <v>51</v>
      </c>
      <c r="T5" t="s">
        <v>52</v>
      </c>
      <c r="U5" t="s">
        <v>53</v>
      </c>
      <c r="V5" t="s">
        <v>85</v>
      </c>
      <c r="W5" s="1">
        <f t="shared" si="0"/>
        <v>39454</v>
      </c>
      <c r="Y5" t="s">
        <v>55</v>
      </c>
      <c r="Z5" t="s">
        <v>56</v>
      </c>
      <c r="AA5" t="s">
        <v>57</v>
      </c>
      <c r="AB5" t="s">
        <v>86</v>
      </c>
      <c r="AC5">
        <v>16</v>
      </c>
      <c r="AD5" t="s">
        <v>72</v>
      </c>
      <c r="AE5" t="s">
        <v>73</v>
      </c>
      <c r="AF5">
        <v>4.84</v>
      </c>
      <c r="AG5">
        <v>5</v>
      </c>
      <c r="AH5">
        <v>0</v>
      </c>
      <c r="AI5" t="s">
        <v>87</v>
      </c>
      <c r="AJ5">
        <v>0</v>
      </c>
      <c r="AK5">
        <v>15</v>
      </c>
      <c r="AL5" t="str">
        <f t="shared" si="1"/>
        <v>Alagbe,Trina</v>
      </c>
      <c r="AM5" t="str">
        <f t="shared" si="2"/>
        <v>Ala</v>
      </c>
      <c r="AN5" t="str">
        <f t="shared" si="3"/>
        <v>ina</v>
      </c>
      <c r="AO5">
        <f t="shared" si="4"/>
        <v>2008</v>
      </c>
      <c r="AP5">
        <f t="shared" si="5"/>
        <v>1</v>
      </c>
      <c r="AQ5">
        <f t="shared" ca="1" si="6"/>
        <v>18</v>
      </c>
      <c r="AR5" s="1">
        <f t="shared" ca="1" si="7"/>
        <v>46222</v>
      </c>
      <c r="AS5" t="str">
        <f t="shared" ca="1" si="8"/>
        <v>Senior</v>
      </c>
    </row>
    <row r="6" spans="1:45">
      <c r="A6" t="s">
        <v>88</v>
      </c>
      <c r="B6">
        <v>10069</v>
      </c>
      <c r="C6">
        <v>0</v>
      </c>
      <c r="D6">
        <v>2</v>
      </c>
      <c r="E6">
        <v>0</v>
      </c>
      <c r="F6">
        <v>5</v>
      </c>
      <c r="G6">
        <v>5</v>
      </c>
      <c r="H6">
        <v>3</v>
      </c>
      <c r="I6">
        <v>0</v>
      </c>
      <c r="J6">
        <v>50825</v>
      </c>
      <c r="K6">
        <v>1</v>
      </c>
      <c r="L6">
        <v>19</v>
      </c>
      <c r="M6" t="s">
        <v>46</v>
      </c>
      <c r="N6" t="s">
        <v>47</v>
      </c>
      <c r="O6">
        <v>2169</v>
      </c>
      <c r="P6" t="s">
        <v>89</v>
      </c>
      <c r="Q6" t="s">
        <v>78</v>
      </c>
      <c r="R6" t="s">
        <v>90</v>
      </c>
      <c r="S6" t="s">
        <v>51</v>
      </c>
      <c r="T6" t="s">
        <v>52</v>
      </c>
      <c r="U6" t="s">
        <v>53</v>
      </c>
      <c r="V6" t="s">
        <v>91</v>
      </c>
      <c r="W6" s="1">
        <f t="shared" si="0"/>
        <v>40735</v>
      </c>
      <c r="X6" t="s">
        <v>92</v>
      </c>
      <c r="Y6" t="s">
        <v>93</v>
      </c>
      <c r="Z6" t="s">
        <v>69</v>
      </c>
      <c r="AA6" t="s">
        <v>57</v>
      </c>
      <c r="AB6" t="s">
        <v>94</v>
      </c>
      <c r="AC6">
        <v>39</v>
      </c>
      <c r="AD6" t="s">
        <v>95</v>
      </c>
      <c r="AE6" t="s">
        <v>73</v>
      </c>
      <c r="AF6">
        <v>5</v>
      </c>
      <c r="AG6">
        <v>4</v>
      </c>
      <c r="AH6">
        <v>0</v>
      </c>
      <c r="AI6" t="s">
        <v>96</v>
      </c>
      <c r="AJ6">
        <v>0</v>
      </c>
      <c r="AK6">
        <v>2</v>
      </c>
      <c r="AL6" t="str">
        <f t="shared" si="1"/>
        <v xml:space="preserve">Anderson, Carol </v>
      </c>
      <c r="AM6" t="str">
        <f t="shared" si="2"/>
        <v>And</v>
      </c>
      <c r="AN6" t="str">
        <f t="shared" si="3"/>
        <v xml:space="preserve">ol </v>
      </c>
      <c r="AO6">
        <f t="shared" si="4"/>
        <v>2011</v>
      </c>
      <c r="AP6">
        <f t="shared" si="5"/>
        <v>7</v>
      </c>
      <c r="AQ6">
        <f t="shared" ca="1" si="6"/>
        <v>15</v>
      </c>
      <c r="AR6" s="1">
        <f t="shared" ca="1" si="7"/>
        <v>46222</v>
      </c>
      <c r="AS6" t="str">
        <f t="shared" ca="1" si="8"/>
        <v>Senior</v>
      </c>
    </row>
    <row r="7" spans="1:45">
      <c r="A7" t="s">
        <v>97</v>
      </c>
      <c r="B7">
        <v>10002</v>
      </c>
      <c r="C7">
        <v>0</v>
      </c>
      <c r="D7">
        <v>0</v>
      </c>
      <c r="E7">
        <v>0</v>
      </c>
      <c r="F7">
        <v>1</v>
      </c>
      <c r="G7">
        <v>5</v>
      </c>
      <c r="H7">
        <v>4</v>
      </c>
      <c r="I7">
        <v>0</v>
      </c>
      <c r="J7">
        <v>57568</v>
      </c>
      <c r="K7">
        <v>0</v>
      </c>
      <c r="L7">
        <v>19</v>
      </c>
      <c r="M7" t="s">
        <v>46</v>
      </c>
      <c r="N7" t="s">
        <v>47</v>
      </c>
      <c r="O7">
        <v>1844</v>
      </c>
      <c r="P7" t="s">
        <v>98</v>
      </c>
      <c r="Q7" t="s">
        <v>78</v>
      </c>
      <c r="R7" t="s">
        <v>50</v>
      </c>
      <c r="S7" t="s">
        <v>51</v>
      </c>
      <c r="T7" t="s">
        <v>52</v>
      </c>
      <c r="U7" t="s">
        <v>53</v>
      </c>
      <c r="V7" t="s">
        <v>99</v>
      </c>
      <c r="W7" s="1">
        <f t="shared" si="0"/>
        <v>40917</v>
      </c>
      <c r="Y7" t="s">
        <v>55</v>
      </c>
      <c r="Z7" t="s">
        <v>56</v>
      </c>
      <c r="AA7" t="s">
        <v>57</v>
      </c>
      <c r="AB7" t="s">
        <v>100</v>
      </c>
      <c r="AC7">
        <v>11</v>
      </c>
      <c r="AD7" t="s">
        <v>59</v>
      </c>
      <c r="AE7" t="s">
        <v>60</v>
      </c>
      <c r="AF7">
        <v>5</v>
      </c>
      <c r="AG7">
        <v>5</v>
      </c>
      <c r="AH7">
        <v>0</v>
      </c>
      <c r="AI7" t="s">
        <v>101</v>
      </c>
      <c r="AJ7">
        <v>0</v>
      </c>
      <c r="AK7">
        <v>15</v>
      </c>
      <c r="AL7" t="str">
        <f t="shared" si="1"/>
        <v xml:space="preserve">Anderson, Linda  </v>
      </c>
      <c r="AM7" t="str">
        <f t="shared" si="2"/>
        <v>And</v>
      </c>
      <c r="AN7" t="str">
        <f t="shared" si="3"/>
        <v xml:space="preserve">a  </v>
      </c>
      <c r="AO7">
        <f t="shared" si="4"/>
        <v>2012</v>
      </c>
      <c r="AP7">
        <f t="shared" si="5"/>
        <v>1</v>
      </c>
      <c r="AQ7">
        <f t="shared" ca="1" si="6"/>
        <v>14</v>
      </c>
      <c r="AR7" s="1">
        <f t="shared" ca="1" si="7"/>
        <v>46222</v>
      </c>
      <c r="AS7" t="str">
        <f t="shared" ca="1" si="8"/>
        <v>Senior</v>
      </c>
    </row>
    <row r="8" spans="1:45">
      <c r="A8" t="s">
        <v>102</v>
      </c>
      <c r="B8">
        <v>10194</v>
      </c>
      <c r="C8">
        <v>0</v>
      </c>
      <c r="D8">
        <v>0</v>
      </c>
      <c r="E8">
        <v>0</v>
      </c>
      <c r="F8">
        <v>1</v>
      </c>
      <c r="G8">
        <v>4</v>
      </c>
      <c r="H8">
        <v>3</v>
      </c>
      <c r="I8">
        <v>0</v>
      </c>
      <c r="J8">
        <v>95660</v>
      </c>
      <c r="K8">
        <v>0</v>
      </c>
      <c r="L8">
        <v>24</v>
      </c>
      <c r="M8" t="s">
        <v>103</v>
      </c>
      <c r="N8" t="s">
        <v>47</v>
      </c>
      <c r="O8">
        <v>2110</v>
      </c>
      <c r="P8" t="s">
        <v>104</v>
      </c>
      <c r="Q8" t="s">
        <v>78</v>
      </c>
      <c r="R8" t="s">
        <v>50</v>
      </c>
      <c r="S8" t="s">
        <v>51</v>
      </c>
      <c r="T8" t="s">
        <v>52</v>
      </c>
      <c r="U8" t="s">
        <v>53</v>
      </c>
      <c r="V8" t="s">
        <v>105</v>
      </c>
      <c r="W8" s="1">
        <f t="shared" si="0"/>
        <v>41953</v>
      </c>
      <c r="Y8" t="s">
        <v>55</v>
      </c>
      <c r="Z8" t="s">
        <v>56</v>
      </c>
      <c r="AA8" t="s">
        <v>106</v>
      </c>
      <c r="AB8" t="s">
        <v>107</v>
      </c>
      <c r="AC8">
        <v>10</v>
      </c>
      <c r="AD8" t="s">
        <v>59</v>
      </c>
      <c r="AE8" t="s">
        <v>73</v>
      </c>
      <c r="AF8">
        <v>3.04</v>
      </c>
      <c r="AG8">
        <v>3</v>
      </c>
      <c r="AH8">
        <v>4</v>
      </c>
      <c r="AI8" t="s">
        <v>108</v>
      </c>
      <c r="AJ8">
        <v>0</v>
      </c>
      <c r="AK8">
        <v>19</v>
      </c>
      <c r="AL8" t="str">
        <f t="shared" si="1"/>
        <v>Andreola, Colby</v>
      </c>
      <c r="AM8" t="str">
        <f t="shared" si="2"/>
        <v>And</v>
      </c>
      <c r="AN8" t="str">
        <f t="shared" si="3"/>
        <v>lby</v>
      </c>
      <c r="AO8">
        <f t="shared" si="4"/>
        <v>2014</v>
      </c>
      <c r="AP8">
        <f t="shared" si="5"/>
        <v>11</v>
      </c>
      <c r="AQ8">
        <f t="shared" ca="1" si="6"/>
        <v>11</v>
      </c>
      <c r="AR8" s="1">
        <f t="shared" ca="1" si="7"/>
        <v>46222</v>
      </c>
      <c r="AS8" t="str">
        <f t="shared" ca="1" si="8"/>
        <v>Senior</v>
      </c>
    </row>
    <row r="9" spans="1:45">
      <c r="A9" t="s">
        <v>109</v>
      </c>
      <c r="B9">
        <v>10062</v>
      </c>
      <c r="C9">
        <v>0</v>
      </c>
      <c r="D9">
        <v>4</v>
      </c>
      <c r="E9">
        <v>1</v>
      </c>
      <c r="F9">
        <v>1</v>
      </c>
      <c r="G9">
        <v>5</v>
      </c>
      <c r="H9">
        <v>3</v>
      </c>
      <c r="I9">
        <v>0</v>
      </c>
      <c r="J9">
        <v>59365</v>
      </c>
      <c r="K9">
        <v>0</v>
      </c>
      <c r="L9">
        <v>19</v>
      </c>
      <c r="M9" t="s">
        <v>46</v>
      </c>
      <c r="N9" t="s">
        <v>47</v>
      </c>
      <c r="O9">
        <v>2199</v>
      </c>
      <c r="P9" t="s">
        <v>110</v>
      </c>
      <c r="Q9" t="s">
        <v>49</v>
      </c>
      <c r="R9" t="s">
        <v>111</v>
      </c>
      <c r="S9" t="s">
        <v>51</v>
      </c>
      <c r="T9" t="s">
        <v>52</v>
      </c>
      <c r="U9" t="s">
        <v>53</v>
      </c>
      <c r="V9" t="s">
        <v>112</v>
      </c>
      <c r="W9" s="1">
        <f t="shared" si="0"/>
        <v>41547</v>
      </c>
      <c r="Y9" t="s">
        <v>55</v>
      </c>
      <c r="Z9" t="s">
        <v>56</v>
      </c>
      <c r="AA9" t="s">
        <v>57</v>
      </c>
      <c r="AB9" t="s">
        <v>113</v>
      </c>
      <c r="AC9">
        <v>19</v>
      </c>
      <c r="AD9" t="s">
        <v>114</v>
      </c>
      <c r="AE9" t="s">
        <v>73</v>
      </c>
      <c r="AF9">
        <v>5</v>
      </c>
      <c r="AG9">
        <v>4</v>
      </c>
      <c r="AH9">
        <v>0</v>
      </c>
      <c r="AI9" t="s">
        <v>115</v>
      </c>
      <c r="AJ9">
        <v>0</v>
      </c>
      <c r="AK9">
        <v>19</v>
      </c>
      <c r="AL9" t="str">
        <f t="shared" si="1"/>
        <v>Athwal, Sam</v>
      </c>
      <c r="AM9" t="str">
        <f t="shared" si="2"/>
        <v>Ath</v>
      </c>
      <c r="AN9" t="str">
        <f t="shared" si="3"/>
        <v>Sam</v>
      </c>
      <c r="AO9">
        <f t="shared" si="4"/>
        <v>2013</v>
      </c>
      <c r="AP9">
        <f t="shared" si="5"/>
        <v>9</v>
      </c>
      <c r="AQ9">
        <f t="shared" ca="1" si="6"/>
        <v>12</v>
      </c>
      <c r="AR9" s="1">
        <f t="shared" ca="1" si="7"/>
        <v>46222</v>
      </c>
      <c r="AS9" t="str">
        <f t="shared" ca="1" si="8"/>
        <v>Senior</v>
      </c>
    </row>
    <row r="10" spans="1:45">
      <c r="A10" t="s">
        <v>116</v>
      </c>
      <c r="B10">
        <v>10114</v>
      </c>
      <c r="C10">
        <v>0</v>
      </c>
      <c r="D10">
        <v>0</v>
      </c>
      <c r="E10">
        <v>0</v>
      </c>
      <c r="F10">
        <v>3</v>
      </c>
      <c r="G10">
        <v>5</v>
      </c>
      <c r="H10">
        <v>3</v>
      </c>
      <c r="I10">
        <v>1</v>
      </c>
      <c r="J10">
        <v>47837</v>
      </c>
      <c r="K10">
        <v>0</v>
      </c>
      <c r="L10">
        <v>19</v>
      </c>
      <c r="M10" t="s">
        <v>46</v>
      </c>
      <c r="N10" t="s">
        <v>47</v>
      </c>
      <c r="O10">
        <v>1902</v>
      </c>
      <c r="P10" t="s">
        <v>117</v>
      </c>
      <c r="Q10" t="s">
        <v>78</v>
      </c>
      <c r="R10" t="s">
        <v>50</v>
      </c>
      <c r="S10" t="s">
        <v>51</v>
      </c>
      <c r="T10" t="s">
        <v>52</v>
      </c>
      <c r="U10" t="s">
        <v>118</v>
      </c>
      <c r="V10" t="s">
        <v>119</v>
      </c>
      <c r="W10" s="1">
        <f t="shared" si="0"/>
        <v>40000</v>
      </c>
      <c r="Y10" t="s">
        <v>55</v>
      </c>
      <c r="Z10" t="s">
        <v>56</v>
      </c>
      <c r="AA10" t="s">
        <v>57</v>
      </c>
      <c r="AB10" t="s">
        <v>120</v>
      </c>
      <c r="AC10">
        <v>12</v>
      </c>
      <c r="AD10" t="s">
        <v>121</v>
      </c>
      <c r="AE10" t="s">
        <v>73</v>
      </c>
      <c r="AF10">
        <v>4.46</v>
      </c>
      <c r="AG10">
        <v>3</v>
      </c>
      <c r="AH10">
        <v>0</v>
      </c>
      <c r="AI10" t="s">
        <v>122</v>
      </c>
      <c r="AJ10">
        <v>0</v>
      </c>
      <c r="AK10">
        <v>4</v>
      </c>
      <c r="AL10" t="str">
        <f t="shared" si="1"/>
        <v>Bachiochi, Linda</v>
      </c>
      <c r="AM10" t="str">
        <f t="shared" si="2"/>
        <v>Bac</v>
      </c>
      <c r="AN10" t="str">
        <f t="shared" si="3"/>
        <v>nda</v>
      </c>
      <c r="AO10">
        <f t="shared" si="4"/>
        <v>2009</v>
      </c>
      <c r="AP10">
        <f t="shared" si="5"/>
        <v>7</v>
      </c>
      <c r="AQ10">
        <f t="shared" ca="1" si="6"/>
        <v>17</v>
      </c>
      <c r="AR10" s="1">
        <f t="shared" ca="1" si="7"/>
        <v>46222</v>
      </c>
      <c r="AS10" t="str">
        <f t="shared" ca="1" si="8"/>
        <v>Senior</v>
      </c>
    </row>
    <row r="11" spans="1:45">
      <c r="A11" t="s">
        <v>123</v>
      </c>
      <c r="B11">
        <v>10250</v>
      </c>
      <c r="C11">
        <v>0</v>
      </c>
      <c r="D11">
        <v>2</v>
      </c>
      <c r="E11">
        <v>1</v>
      </c>
      <c r="F11">
        <v>1</v>
      </c>
      <c r="G11">
        <v>3</v>
      </c>
      <c r="H11">
        <v>3</v>
      </c>
      <c r="I11">
        <v>0</v>
      </c>
      <c r="J11">
        <v>50178</v>
      </c>
      <c r="K11">
        <v>0</v>
      </c>
      <c r="L11">
        <v>14</v>
      </c>
      <c r="M11" t="s">
        <v>124</v>
      </c>
      <c r="N11" t="s">
        <v>47</v>
      </c>
      <c r="O11">
        <v>1886</v>
      </c>
      <c r="P11" t="s">
        <v>125</v>
      </c>
      <c r="Q11" t="s">
        <v>49</v>
      </c>
      <c r="R11" t="s">
        <v>90</v>
      </c>
      <c r="S11" t="s">
        <v>51</v>
      </c>
      <c r="T11" t="s">
        <v>52</v>
      </c>
      <c r="U11" t="s">
        <v>53</v>
      </c>
      <c r="V11" t="s">
        <v>126</v>
      </c>
      <c r="W11" s="1">
        <f t="shared" si="0"/>
        <v>42009</v>
      </c>
      <c r="Y11" t="s">
        <v>55</v>
      </c>
      <c r="Z11" t="s">
        <v>56</v>
      </c>
      <c r="AA11" t="s">
        <v>70</v>
      </c>
      <c r="AB11" t="s">
        <v>127</v>
      </c>
      <c r="AC11">
        <v>7</v>
      </c>
      <c r="AD11" t="s">
        <v>72</v>
      </c>
      <c r="AE11" t="s">
        <v>73</v>
      </c>
      <c r="AF11">
        <v>5</v>
      </c>
      <c r="AG11">
        <v>5</v>
      </c>
      <c r="AH11">
        <v>6</v>
      </c>
      <c r="AI11" t="s">
        <v>128</v>
      </c>
      <c r="AJ11">
        <v>0</v>
      </c>
      <c r="AK11">
        <v>16</v>
      </c>
      <c r="AL11" t="str">
        <f t="shared" si="1"/>
        <v xml:space="preserve">Bacong, Alejandro </v>
      </c>
      <c r="AM11" t="str">
        <f t="shared" si="2"/>
        <v>Bac</v>
      </c>
      <c r="AN11" t="str">
        <f t="shared" si="3"/>
        <v xml:space="preserve">ro </v>
      </c>
      <c r="AO11">
        <f t="shared" si="4"/>
        <v>2015</v>
      </c>
      <c r="AP11">
        <f t="shared" si="5"/>
        <v>1</v>
      </c>
      <c r="AQ11">
        <f t="shared" ca="1" si="6"/>
        <v>11</v>
      </c>
      <c r="AR11" s="1">
        <f t="shared" ca="1" si="7"/>
        <v>46222</v>
      </c>
      <c r="AS11" t="str">
        <f t="shared" ca="1" si="8"/>
        <v>Senior</v>
      </c>
    </row>
    <row r="12" spans="1:45">
      <c r="A12" t="s">
        <v>129</v>
      </c>
      <c r="B12">
        <v>10252</v>
      </c>
      <c r="C12">
        <v>1</v>
      </c>
      <c r="D12">
        <v>1</v>
      </c>
      <c r="E12">
        <v>0</v>
      </c>
      <c r="F12">
        <v>5</v>
      </c>
      <c r="G12">
        <v>5</v>
      </c>
      <c r="H12">
        <v>3</v>
      </c>
      <c r="I12">
        <v>1</v>
      </c>
      <c r="J12">
        <v>54670</v>
      </c>
      <c r="K12">
        <v>1</v>
      </c>
      <c r="L12">
        <v>19</v>
      </c>
      <c r="M12" t="s">
        <v>46</v>
      </c>
      <c r="N12" t="s">
        <v>47</v>
      </c>
      <c r="O12">
        <v>1902</v>
      </c>
      <c r="P12" t="s">
        <v>130</v>
      </c>
      <c r="Q12" t="s">
        <v>78</v>
      </c>
      <c r="R12" t="s">
        <v>65</v>
      </c>
      <c r="S12" t="s">
        <v>51</v>
      </c>
      <c r="T12" t="s">
        <v>131</v>
      </c>
      <c r="U12" t="s">
        <v>118</v>
      </c>
      <c r="V12" t="s">
        <v>132</v>
      </c>
      <c r="W12" s="1">
        <f t="shared" si="0"/>
        <v>40553</v>
      </c>
      <c r="X12" t="s">
        <v>133</v>
      </c>
      <c r="Y12" t="s">
        <v>134</v>
      </c>
      <c r="Z12" t="s">
        <v>69</v>
      </c>
      <c r="AA12" t="s">
        <v>57</v>
      </c>
      <c r="AB12" t="s">
        <v>135</v>
      </c>
      <c r="AC12">
        <v>14</v>
      </c>
      <c r="AD12" t="s">
        <v>121</v>
      </c>
      <c r="AE12" t="s">
        <v>73</v>
      </c>
      <c r="AF12">
        <v>4.2</v>
      </c>
      <c r="AG12">
        <v>4</v>
      </c>
      <c r="AH12">
        <v>0</v>
      </c>
      <c r="AI12" t="s">
        <v>136</v>
      </c>
      <c r="AJ12">
        <v>0</v>
      </c>
      <c r="AK12">
        <v>12</v>
      </c>
      <c r="AL12" t="str">
        <f t="shared" si="1"/>
        <v xml:space="preserve">Baczenski, Rachael  </v>
      </c>
      <c r="AM12" t="str">
        <f t="shared" si="2"/>
        <v>Bac</v>
      </c>
      <c r="AN12" t="str">
        <f t="shared" si="3"/>
        <v xml:space="preserve">l  </v>
      </c>
      <c r="AO12">
        <f t="shared" si="4"/>
        <v>2011</v>
      </c>
      <c r="AP12">
        <f t="shared" si="5"/>
        <v>1</v>
      </c>
      <c r="AQ12">
        <f t="shared" ca="1" si="6"/>
        <v>15</v>
      </c>
      <c r="AR12" s="1">
        <f t="shared" ca="1" si="7"/>
        <v>46222</v>
      </c>
      <c r="AS12" t="str">
        <f t="shared" ca="1" si="8"/>
        <v>Senior</v>
      </c>
    </row>
    <row r="13" spans="1:45">
      <c r="A13" t="s">
        <v>137</v>
      </c>
      <c r="B13">
        <v>10242</v>
      </c>
      <c r="C13">
        <v>1</v>
      </c>
      <c r="D13">
        <v>1</v>
      </c>
      <c r="E13">
        <v>1</v>
      </c>
      <c r="F13">
        <v>5</v>
      </c>
      <c r="G13">
        <v>5</v>
      </c>
      <c r="H13">
        <v>3</v>
      </c>
      <c r="I13">
        <v>1</v>
      </c>
      <c r="J13">
        <v>47211</v>
      </c>
      <c r="K13">
        <v>1</v>
      </c>
      <c r="L13">
        <v>19</v>
      </c>
      <c r="M13" t="s">
        <v>46</v>
      </c>
      <c r="N13" t="s">
        <v>47</v>
      </c>
      <c r="O13">
        <v>2062</v>
      </c>
      <c r="P13" t="s">
        <v>138</v>
      </c>
      <c r="Q13" t="s">
        <v>49</v>
      </c>
      <c r="R13" t="s">
        <v>65</v>
      </c>
      <c r="S13" t="s">
        <v>51</v>
      </c>
      <c r="T13" t="s">
        <v>131</v>
      </c>
      <c r="U13" t="s">
        <v>118</v>
      </c>
      <c r="V13" t="s">
        <v>139</v>
      </c>
      <c r="W13" s="1">
        <f t="shared" si="0"/>
        <v>41001</v>
      </c>
      <c r="X13" t="s">
        <v>140</v>
      </c>
      <c r="Y13" t="s">
        <v>141</v>
      </c>
      <c r="Z13" t="s">
        <v>69</v>
      </c>
      <c r="AA13" t="s">
        <v>57</v>
      </c>
      <c r="AB13" t="s">
        <v>81</v>
      </c>
      <c r="AC13">
        <v>20</v>
      </c>
      <c r="AD13" t="s">
        <v>121</v>
      </c>
      <c r="AE13" t="s">
        <v>73</v>
      </c>
      <c r="AF13">
        <v>4.2</v>
      </c>
      <c r="AG13">
        <v>3</v>
      </c>
      <c r="AH13">
        <v>0</v>
      </c>
      <c r="AI13" t="s">
        <v>142</v>
      </c>
      <c r="AJ13">
        <v>0</v>
      </c>
      <c r="AK13">
        <v>15</v>
      </c>
      <c r="AL13" t="str">
        <f t="shared" si="1"/>
        <v>Barbara, Thomas</v>
      </c>
      <c r="AM13" t="str">
        <f t="shared" si="2"/>
        <v>Bar</v>
      </c>
      <c r="AN13" t="str">
        <f t="shared" si="3"/>
        <v>mas</v>
      </c>
      <c r="AO13">
        <f t="shared" si="4"/>
        <v>2012</v>
      </c>
      <c r="AP13">
        <f t="shared" si="5"/>
        <v>4</v>
      </c>
      <c r="AQ13">
        <f t="shared" ca="1" si="6"/>
        <v>14</v>
      </c>
      <c r="AR13" s="1">
        <f t="shared" ca="1" si="7"/>
        <v>46222</v>
      </c>
      <c r="AS13" t="str">
        <f t="shared" ca="1" si="8"/>
        <v>Senior</v>
      </c>
    </row>
    <row r="14" spans="1:45">
      <c r="A14" t="s">
        <v>143</v>
      </c>
      <c r="B14">
        <v>10012</v>
      </c>
      <c r="C14">
        <v>0</v>
      </c>
      <c r="D14">
        <v>2</v>
      </c>
      <c r="E14">
        <v>1</v>
      </c>
      <c r="F14">
        <v>1</v>
      </c>
      <c r="G14">
        <v>3</v>
      </c>
      <c r="H14">
        <v>4</v>
      </c>
      <c r="I14">
        <v>1</v>
      </c>
      <c r="J14">
        <v>92328</v>
      </c>
      <c r="K14">
        <v>0</v>
      </c>
      <c r="L14">
        <v>9</v>
      </c>
      <c r="M14" t="s">
        <v>144</v>
      </c>
      <c r="N14" t="s">
        <v>145</v>
      </c>
      <c r="O14">
        <v>78230</v>
      </c>
      <c r="P14" t="s">
        <v>146</v>
      </c>
      <c r="Q14" t="s">
        <v>49</v>
      </c>
      <c r="R14" t="s">
        <v>90</v>
      </c>
      <c r="S14" t="s">
        <v>51</v>
      </c>
      <c r="T14" t="s">
        <v>52</v>
      </c>
      <c r="U14" t="s">
        <v>118</v>
      </c>
      <c r="V14" t="s">
        <v>105</v>
      </c>
      <c r="W14" s="1">
        <f t="shared" si="0"/>
        <v>41953</v>
      </c>
      <c r="Y14" t="s">
        <v>55</v>
      </c>
      <c r="Z14" t="s">
        <v>56</v>
      </c>
      <c r="AA14" t="s">
        <v>70</v>
      </c>
      <c r="AB14" t="s">
        <v>71</v>
      </c>
      <c r="AC14">
        <v>4</v>
      </c>
      <c r="AD14" t="s">
        <v>121</v>
      </c>
      <c r="AE14" t="s">
        <v>60</v>
      </c>
      <c r="AF14">
        <v>4.28</v>
      </c>
      <c r="AG14">
        <v>4</v>
      </c>
      <c r="AH14">
        <v>5</v>
      </c>
      <c r="AI14" t="s">
        <v>115</v>
      </c>
      <c r="AJ14">
        <v>0</v>
      </c>
      <c r="AK14">
        <v>9</v>
      </c>
      <c r="AL14" t="str">
        <f t="shared" si="1"/>
        <v>Barbossa, Hector</v>
      </c>
      <c r="AM14" t="str">
        <f t="shared" si="2"/>
        <v>Bar</v>
      </c>
      <c r="AN14" t="str">
        <f t="shared" si="3"/>
        <v>tor</v>
      </c>
      <c r="AO14">
        <f t="shared" si="4"/>
        <v>2014</v>
      </c>
      <c r="AP14">
        <f t="shared" si="5"/>
        <v>11</v>
      </c>
      <c r="AQ14">
        <f t="shared" ca="1" si="6"/>
        <v>11</v>
      </c>
      <c r="AR14" s="1">
        <f t="shared" ca="1" si="7"/>
        <v>46222</v>
      </c>
      <c r="AS14" t="str">
        <f t="shared" ca="1" si="8"/>
        <v>Senior</v>
      </c>
    </row>
    <row r="15" spans="1:45">
      <c r="A15" t="s">
        <v>147</v>
      </c>
      <c r="B15">
        <v>10265</v>
      </c>
      <c r="C15">
        <v>0</v>
      </c>
      <c r="D15">
        <v>0</v>
      </c>
      <c r="E15">
        <v>1</v>
      </c>
      <c r="F15">
        <v>1</v>
      </c>
      <c r="G15">
        <v>5</v>
      </c>
      <c r="H15">
        <v>3</v>
      </c>
      <c r="I15">
        <v>0</v>
      </c>
      <c r="J15">
        <v>58709</v>
      </c>
      <c r="K15">
        <v>0</v>
      </c>
      <c r="L15">
        <v>19</v>
      </c>
      <c r="M15" t="s">
        <v>46</v>
      </c>
      <c r="N15" t="s">
        <v>47</v>
      </c>
      <c r="O15">
        <v>1810</v>
      </c>
      <c r="P15" t="s">
        <v>148</v>
      </c>
      <c r="Q15" t="s">
        <v>49</v>
      </c>
      <c r="R15" t="s">
        <v>50</v>
      </c>
      <c r="S15" t="s">
        <v>51</v>
      </c>
      <c r="T15" t="s">
        <v>52</v>
      </c>
      <c r="U15" t="s">
        <v>149</v>
      </c>
      <c r="V15" t="s">
        <v>150</v>
      </c>
      <c r="W15" s="1">
        <f t="shared" si="0"/>
        <v>40959</v>
      </c>
      <c r="Y15" t="s">
        <v>55</v>
      </c>
      <c r="Z15" t="s">
        <v>56</v>
      </c>
      <c r="AA15" t="s">
        <v>57</v>
      </c>
      <c r="AB15" t="s">
        <v>151</v>
      </c>
      <c r="AC15">
        <v>18</v>
      </c>
      <c r="AD15" t="s">
        <v>95</v>
      </c>
      <c r="AE15" t="s">
        <v>73</v>
      </c>
      <c r="AF15">
        <v>4.5999999999999996</v>
      </c>
      <c r="AG15">
        <v>4</v>
      </c>
      <c r="AH15">
        <v>0</v>
      </c>
      <c r="AI15" t="s">
        <v>152</v>
      </c>
      <c r="AJ15">
        <v>0</v>
      </c>
      <c r="AK15">
        <v>7</v>
      </c>
      <c r="AL15" t="str">
        <f t="shared" si="1"/>
        <v>Barone, Francesco  A</v>
      </c>
      <c r="AM15" t="str">
        <f t="shared" si="2"/>
        <v>Bar</v>
      </c>
      <c r="AN15" t="str">
        <f t="shared" si="3"/>
        <v xml:space="preserve">  A</v>
      </c>
      <c r="AO15">
        <f t="shared" si="4"/>
        <v>2012</v>
      </c>
      <c r="AP15">
        <f t="shared" si="5"/>
        <v>2</v>
      </c>
      <c r="AQ15">
        <f t="shared" ca="1" si="6"/>
        <v>14</v>
      </c>
      <c r="AR15" s="1">
        <f t="shared" ca="1" si="7"/>
        <v>46222</v>
      </c>
      <c r="AS15" t="str">
        <f t="shared" ca="1" si="8"/>
        <v>Senior</v>
      </c>
    </row>
    <row r="16" spans="1:45">
      <c r="A16" t="s">
        <v>153</v>
      </c>
      <c r="B16">
        <v>10066</v>
      </c>
      <c r="C16">
        <v>0</v>
      </c>
      <c r="D16">
        <v>2</v>
      </c>
      <c r="E16">
        <v>1</v>
      </c>
      <c r="F16">
        <v>5</v>
      </c>
      <c r="G16">
        <v>5</v>
      </c>
      <c r="H16">
        <v>3</v>
      </c>
      <c r="I16">
        <v>0</v>
      </c>
      <c r="J16">
        <v>52505</v>
      </c>
      <c r="K16">
        <v>1</v>
      </c>
      <c r="L16">
        <v>19</v>
      </c>
      <c r="M16" t="s">
        <v>46</v>
      </c>
      <c r="N16" t="s">
        <v>47</v>
      </c>
      <c r="O16">
        <v>2747</v>
      </c>
      <c r="P16" t="s">
        <v>154</v>
      </c>
      <c r="Q16" t="s">
        <v>49</v>
      </c>
      <c r="R16" t="s">
        <v>90</v>
      </c>
      <c r="S16" t="s">
        <v>51</v>
      </c>
      <c r="T16" t="s">
        <v>52</v>
      </c>
      <c r="U16" t="s">
        <v>53</v>
      </c>
      <c r="V16" t="s">
        <v>79</v>
      </c>
      <c r="W16" s="1">
        <f t="shared" si="0"/>
        <v>41176</v>
      </c>
      <c r="X16" t="s">
        <v>155</v>
      </c>
      <c r="Y16" t="s">
        <v>134</v>
      </c>
      <c r="Z16" t="s">
        <v>69</v>
      </c>
      <c r="AA16" t="s">
        <v>57</v>
      </c>
      <c r="AB16" t="s">
        <v>58</v>
      </c>
      <c r="AC16">
        <v>22</v>
      </c>
      <c r="AD16" t="s">
        <v>156</v>
      </c>
      <c r="AE16" t="s">
        <v>73</v>
      </c>
      <c r="AF16">
        <v>5</v>
      </c>
      <c r="AG16">
        <v>5</v>
      </c>
      <c r="AH16">
        <v>0</v>
      </c>
      <c r="AI16" t="s">
        <v>157</v>
      </c>
      <c r="AJ16">
        <v>0</v>
      </c>
      <c r="AK16">
        <v>1</v>
      </c>
      <c r="AL16" t="str">
        <f t="shared" si="1"/>
        <v>Barton, Nader</v>
      </c>
      <c r="AM16" t="str">
        <f t="shared" si="2"/>
        <v>Bar</v>
      </c>
      <c r="AN16" t="str">
        <f t="shared" si="3"/>
        <v>der</v>
      </c>
      <c r="AO16">
        <f t="shared" si="4"/>
        <v>2012</v>
      </c>
      <c r="AP16">
        <f t="shared" si="5"/>
        <v>9</v>
      </c>
      <c r="AQ16">
        <f t="shared" ca="1" si="6"/>
        <v>13</v>
      </c>
      <c r="AR16" s="1">
        <f t="shared" ca="1" si="7"/>
        <v>46222</v>
      </c>
      <c r="AS16" t="str">
        <f t="shared" ca="1" si="8"/>
        <v>Senior</v>
      </c>
    </row>
    <row r="17" spans="1:45">
      <c r="A17" t="s">
        <v>158</v>
      </c>
      <c r="B17">
        <v>10061</v>
      </c>
      <c r="C17">
        <v>0</v>
      </c>
      <c r="D17">
        <v>0</v>
      </c>
      <c r="E17">
        <v>1</v>
      </c>
      <c r="F17">
        <v>4</v>
      </c>
      <c r="G17">
        <v>5</v>
      </c>
      <c r="H17">
        <v>3</v>
      </c>
      <c r="I17">
        <v>0</v>
      </c>
      <c r="J17">
        <v>57834</v>
      </c>
      <c r="K17">
        <v>1</v>
      </c>
      <c r="L17">
        <v>19</v>
      </c>
      <c r="M17" t="s">
        <v>46</v>
      </c>
      <c r="N17" t="s">
        <v>47</v>
      </c>
      <c r="O17">
        <v>2050</v>
      </c>
      <c r="P17" t="s">
        <v>159</v>
      </c>
      <c r="Q17" t="s">
        <v>49</v>
      </c>
      <c r="R17" t="s">
        <v>50</v>
      </c>
      <c r="S17" t="s">
        <v>51</v>
      </c>
      <c r="T17" t="s">
        <v>52</v>
      </c>
      <c r="U17" t="s">
        <v>53</v>
      </c>
      <c r="V17" t="s">
        <v>160</v>
      </c>
      <c r="W17" s="1">
        <f t="shared" si="0"/>
        <v>40595</v>
      </c>
      <c r="X17" t="s">
        <v>161</v>
      </c>
      <c r="Y17" t="s">
        <v>162</v>
      </c>
      <c r="Z17" t="s">
        <v>163</v>
      </c>
      <c r="AA17" t="s">
        <v>57</v>
      </c>
      <c r="AB17" t="s">
        <v>151</v>
      </c>
      <c r="AC17">
        <v>18</v>
      </c>
      <c r="AD17" t="s">
        <v>95</v>
      </c>
      <c r="AE17" t="s">
        <v>73</v>
      </c>
      <c r="AF17">
        <v>5</v>
      </c>
      <c r="AG17">
        <v>4</v>
      </c>
      <c r="AH17">
        <v>0</v>
      </c>
      <c r="AI17" t="s">
        <v>164</v>
      </c>
      <c r="AJ17">
        <v>0</v>
      </c>
      <c r="AK17">
        <v>20</v>
      </c>
      <c r="AL17" t="str">
        <f t="shared" si="1"/>
        <v>Bates, Norman</v>
      </c>
      <c r="AM17" t="str">
        <f t="shared" si="2"/>
        <v>Bat</v>
      </c>
      <c r="AN17" t="str">
        <f t="shared" si="3"/>
        <v>man</v>
      </c>
      <c r="AO17">
        <f t="shared" si="4"/>
        <v>2011</v>
      </c>
      <c r="AP17">
        <f t="shared" si="5"/>
        <v>2</v>
      </c>
      <c r="AQ17">
        <f t="shared" ca="1" si="6"/>
        <v>15</v>
      </c>
      <c r="AR17" s="1">
        <f t="shared" ca="1" si="7"/>
        <v>46222</v>
      </c>
      <c r="AS17" t="str">
        <f t="shared" ca="1" si="8"/>
        <v>Senior</v>
      </c>
    </row>
    <row r="18" spans="1:45">
      <c r="A18" t="s">
        <v>165</v>
      </c>
      <c r="B18">
        <v>10023</v>
      </c>
      <c r="C18">
        <v>1</v>
      </c>
      <c r="D18">
        <v>1</v>
      </c>
      <c r="E18">
        <v>0</v>
      </c>
      <c r="F18">
        <v>2</v>
      </c>
      <c r="G18">
        <v>5</v>
      </c>
      <c r="H18">
        <v>4</v>
      </c>
      <c r="I18">
        <v>0</v>
      </c>
      <c r="J18">
        <v>70131</v>
      </c>
      <c r="K18">
        <v>0</v>
      </c>
      <c r="L18">
        <v>20</v>
      </c>
      <c r="M18" t="s">
        <v>76</v>
      </c>
      <c r="N18" t="s">
        <v>47</v>
      </c>
      <c r="O18">
        <v>2145</v>
      </c>
      <c r="P18" t="s">
        <v>166</v>
      </c>
      <c r="Q18" t="s">
        <v>78</v>
      </c>
      <c r="R18" t="s">
        <v>65</v>
      </c>
      <c r="S18" t="s">
        <v>51</v>
      </c>
      <c r="T18" t="s">
        <v>52</v>
      </c>
      <c r="U18" t="s">
        <v>53</v>
      </c>
      <c r="V18" t="s">
        <v>167</v>
      </c>
      <c r="W18" s="1">
        <f t="shared" si="0"/>
        <v>42572</v>
      </c>
      <c r="Y18" t="s">
        <v>55</v>
      </c>
      <c r="Z18" t="s">
        <v>56</v>
      </c>
      <c r="AA18" t="s">
        <v>57</v>
      </c>
      <c r="AB18" t="s">
        <v>151</v>
      </c>
      <c r="AC18">
        <v>18</v>
      </c>
      <c r="AD18" t="s">
        <v>114</v>
      </c>
      <c r="AE18" t="s">
        <v>60</v>
      </c>
      <c r="AF18">
        <v>4.4000000000000004</v>
      </c>
      <c r="AG18">
        <v>3</v>
      </c>
      <c r="AH18">
        <v>0</v>
      </c>
      <c r="AI18" t="s">
        <v>168</v>
      </c>
      <c r="AJ18">
        <v>0</v>
      </c>
      <c r="AK18">
        <v>16</v>
      </c>
      <c r="AL18" t="str">
        <f t="shared" si="1"/>
        <v xml:space="preserve">Beak, Kimberly  </v>
      </c>
      <c r="AM18" t="str">
        <f t="shared" si="2"/>
        <v>Bea</v>
      </c>
      <c r="AN18" t="str">
        <f t="shared" si="3"/>
        <v xml:space="preserve">y  </v>
      </c>
      <c r="AO18">
        <f t="shared" si="4"/>
        <v>2016</v>
      </c>
      <c r="AP18">
        <f t="shared" si="5"/>
        <v>7</v>
      </c>
      <c r="AQ18">
        <f t="shared" ca="1" si="6"/>
        <v>9</v>
      </c>
      <c r="AR18" s="1">
        <f t="shared" ca="1" si="7"/>
        <v>46222</v>
      </c>
      <c r="AS18" t="str">
        <f t="shared" ca="1" si="8"/>
        <v>Senior</v>
      </c>
    </row>
    <row r="19" spans="1:45">
      <c r="A19" t="s">
        <v>169</v>
      </c>
      <c r="B19">
        <v>10055</v>
      </c>
      <c r="C19">
        <v>0</v>
      </c>
      <c r="D19">
        <v>0</v>
      </c>
      <c r="E19">
        <v>0</v>
      </c>
      <c r="F19">
        <v>1</v>
      </c>
      <c r="G19">
        <v>5</v>
      </c>
      <c r="H19">
        <v>3</v>
      </c>
      <c r="I19">
        <v>0</v>
      </c>
      <c r="J19">
        <v>59026</v>
      </c>
      <c r="K19">
        <v>0</v>
      </c>
      <c r="L19">
        <v>19</v>
      </c>
      <c r="M19" t="s">
        <v>46</v>
      </c>
      <c r="N19" t="s">
        <v>47</v>
      </c>
      <c r="O19">
        <v>1915</v>
      </c>
      <c r="P19" t="s">
        <v>170</v>
      </c>
      <c r="Q19" t="s">
        <v>78</v>
      </c>
      <c r="R19" t="s">
        <v>50</v>
      </c>
      <c r="S19" t="s">
        <v>171</v>
      </c>
      <c r="T19" t="s">
        <v>52</v>
      </c>
      <c r="U19" t="s">
        <v>53</v>
      </c>
      <c r="V19" t="s">
        <v>172</v>
      </c>
      <c r="W19" s="1">
        <f t="shared" si="0"/>
        <v>40637</v>
      </c>
      <c r="Y19" t="s">
        <v>55</v>
      </c>
      <c r="Z19" t="s">
        <v>56</v>
      </c>
      <c r="AA19" t="s">
        <v>57</v>
      </c>
      <c r="AB19" t="s">
        <v>86</v>
      </c>
      <c r="AC19">
        <v>16</v>
      </c>
      <c r="AD19" t="s">
        <v>95</v>
      </c>
      <c r="AE19" t="s">
        <v>73</v>
      </c>
      <c r="AF19">
        <v>5</v>
      </c>
      <c r="AG19">
        <v>5</v>
      </c>
      <c r="AH19">
        <v>0</v>
      </c>
      <c r="AI19" t="s">
        <v>168</v>
      </c>
      <c r="AJ19">
        <v>0</v>
      </c>
      <c r="AK19">
        <v>12</v>
      </c>
      <c r="AL19" t="str">
        <f t="shared" si="1"/>
        <v xml:space="preserve">Beatrice, Courtney </v>
      </c>
      <c r="AM19" t="str">
        <f t="shared" si="2"/>
        <v>Bea</v>
      </c>
      <c r="AN19" t="str">
        <f t="shared" si="3"/>
        <v xml:space="preserve">ey </v>
      </c>
      <c r="AO19">
        <f t="shared" si="4"/>
        <v>2011</v>
      </c>
      <c r="AP19">
        <f t="shared" si="5"/>
        <v>4</v>
      </c>
      <c r="AQ19">
        <f t="shared" ca="1" si="6"/>
        <v>15</v>
      </c>
      <c r="AR19" s="1">
        <f t="shared" ca="1" si="7"/>
        <v>46222</v>
      </c>
      <c r="AS19" t="str">
        <f t="shared" ca="1" si="8"/>
        <v>Senior</v>
      </c>
    </row>
    <row r="20" spans="1:45">
      <c r="A20" t="s">
        <v>173</v>
      </c>
      <c r="B20">
        <v>10245</v>
      </c>
      <c r="C20">
        <v>0</v>
      </c>
      <c r="D20">
        <v>0</v>
      </c>
      <c r="E20">
        <v>0</v>
      </c>
      <c r="F20">
        <v>4</v>
      </c>
      <c r="G20">
        <v>3</v>
      </c>
      <c r="H20">
        <v>3</v>
      </c>
      <c r="I20">
        <v>0</v>
      </c>
      <c r="J20">
        <v>110000</v>
      </c>
      <c r="K20">
        <v>1</v>
      </c>
      <c r="L20">
        <v>8</v>
      </c>
      <c r="M20" t="s">
        <v>174</v>
      </c>
      <c r="N20" t="s">
        <v>47</v>
      </c>
      <c r="O20">
        <v>2026</v>
      </c>
      <c r="P20" t="s">
        <v>175</v>
      </c>
      <c r="Q20" t="s">
        <v>78</v>
      </c>
      <c r="R20" t="s">
        <v>50</v>
      </c>
      <c r="S20" t="s">
        <v>51</v>
      </c>
      <c r="T20" t="s">
        <v>131</v>
      </c>
      <c r="U20" t="s">
        <v>53</v>
      </c>
      <c r="V20" t="s">
        <v>176</v>
      </c>
      <c r="W20" s="1">
        <f t="shared" si="0"/>
        <v>41827</v>
      </c>
      <c r="X20" t="s">
        <v>177</v>
      </c>
      <c r="Y20" t="s">
        <v>178</v>
      </c>
      <c r="Z20" t="s">
        <v>163</v>
      </c>
      <c r="AA20" t="s">
        <v>70</v>
      </c>
      <c r="AB20" t="s">
        <v>71</v>
      </c>
      <c r="AC20">
        <v>4</v>
      </c>
      <c r="AD20" t="s">
        <v>95</v>
      </c>
      <c r="AE20" t="s">
        <v>73</v>
      </c>
      <c r="AF20">
        <v>4.5</v>
      </c>
      <c r="AG20">
        <v>4</v>
      </c>
      <c r="AH20">
        <v>5</v>
      </c>
      <c r="AI20" t="s">
        <v>179</v>
      </c>
      <c r="AJ20">
        <v>0</v>
      </c>
      <c r="AK20">
        <v>8</v>
      </c>
      <c r="AL20" t="str">
        <f t="shared" si="1"/>
        <v>Becker, Renee</v>
      </c>
      <c r="AM20" t="str">
        <f t="shared" si="2"/>
        <v>Bec</v>
      </c>
      <c r="AN20" t="str">
        <f t="shared" si="3"/>
        <v>nee</v>
      </c>
      <c r="AO20">
        <f t="shared" si="4"/>
        <v>2014</v>
      </c>
      <c r="AP20">
        <f t="shared" si="5"/>
        <v>7</v>
      </c>
      <c r="AQ20">
        <f t="shared" ca="1" si="6"/>
        <v>12</v>
      </c>
      <c r="AR20" s="1">
        <f t="shared" ca="1" si="7"/>
        <v>46222</v>
      </c>
      <c r="AS20" t="str">
        <f t="shared" ca="1" si="8"/>
        <v>Senior</v>
      </c>
    </row>
    <row r="21" spans="1:45">
      <c r="A21" t="s">
        <v>180</v>
      </c>
      <c r="B21">
        <v>10277</v>
      </c>
      <c r="C21">
        <v>0</v>
      </c>
      <c r="D21">
        <v>0</v>
      </c>
      <c r="E21">
        <v>1</v>
      </c>
      <c r="F21">
        <v>3</v>
      </c>
      <c r="G21">
        <v>5</v>
      </c>
      <c r="H21">
        <v>3</v>
      </c>
      <c r="I21">
        <v>0</v>
      </c>
      <c r="J21">
        <v>53250</v>
      </c>
      <c r="K21">
        <v>0</v>
      </c>
      <c r="L21">
        <v>19</v>
      </c>
      <c r="M21" t="s">
        <v>46</v>
      </c>
      <c r="N21" t="s">
        <v>47</v>
      </c>
      <c r="O21">
        <v>2452</v>
      </c>
      <c r="P21" t="s">
        <v>181</v>
      </c>
      <c r="Q21" t="s">
        <v>49</v>
      </c>
      <c r="R21" t="s">
        <v>50</v>
      </c>
      <c r="S21" t="s">
        <v>51</v>
      </c>
      <c r="T21" t="s">
        <v>52</v>
      </c>
      <c r="U21" t="s">
        <v>182</v>
      </c>
      <c r="V21" t="s">
        <v>183</v>
      </c>
      <c r="W21" s="1">
        <f t="shared" si="0"/>
        <v>41463</v>
      </c>
      <c r="Y21" t="s">
        <v>55</v>
      </c>
      <c r="Z21" t="s">
        <v>56</v>
      </c>
      <c r="AA21" t="s">
        <v>57</v>
      </c>
      <c r="AB21" t="s">
        <v>94</v>
      </c>
      <c r="AD21" t="s">
        <v>59</v>
      </c>
      <c r="AE21" t="s">
        <v>73</v>
      </c>
      <c r="AF21">
        <v>4.2</v>
      </c>
      <c r="AG21">
        <v>4</v>
      </c>
      <c r="AH21">
        <v>0</v>
      </c>
      <c r="AI21" t="s">
        <v>184</v>
      </c>
      <c r="AJ21">
        <v>0</v>
      </c>
      <c r="AK21">
        <v>13</v>
      </c>
      <c r="AL21" t="str">
        <f t="shared" si="1"/>
        <v>Becker, Scott</v>
      </c>
      <c r="AM21" t="str">
        <f t="shared" si="2"/>
        <v>Bec</v>
      </c>
      <c r="AN21" t="str">
        <f t="shared" si="3"/>
        <v>ott</v>
      </c>
      <c r="AO21">
        <f t="shared" si="4"/>
        <v>2013</v>
      </c>
      <c r="AP21">
        <f t="shared" si="5"/>
        <v>7</v>
      </c>
      <c r="AQ21">
        <f t="shared" ca="1" si="6"/>
        <v>13</v>
      </c>
      <c r="AR21" s="1">
        <f t="shared" ca="1" si="7"/>
        <v>46222</v>
      </c>
      <c r="AS21" t="str">
        <f t="shared" ca="1" si="8"/>
        <v>Senior</v>
      </c>
    </row>
    <row r="22" spans="1:45">
      <c r="A22" t="s">
        <v>185</v>
      </c>
      <c r="B22">
        <v>10046</v>
      </c>
      <c r="C22">
        <v>0</v>
      </c>
      <c r="D22">
        <v>0</v>
      </c>
      <c r="E22">
        <v>1</v>
      </c>
      <c r="F22">
        <v>1</v>
      </c>
      <c r="G22">
        <v>5</v>
      </c>
      <c r="H22">
        <v>3</v>
      </c>
      <c r="I22">
        <v>0</v>
      </c>
      <c r="J22">
        <v>51044</v>
      </c>
      <c r="K22">
        <v>0</v>
      </c>
      <c r="L22">
        <v>19</v>
      </c>
      <c r="M22" t="s">
        <v>46</v>
      </c>
      <c r="N22" t="s">
        <v>47</v>
      </c>
      <c r="O22">
        <v>2072</v>
      </c>
      <c r="P22" t="s">
        <v>186</v>
      </c>
      <c r="Q22" t="s">
        <v>49</v>
      </c>
      <c r="R22" t="s">
        <v>50</v>
      </c>
      <c r="S22" t="s">
        <v>51</v>
      </c>
      <c r="T22" t="s">
        <v>131</v>
      </c>
      <c r="U22" t="s">
        <v>53</v>
      </c>
      <c r="V22" t="s">
        <v>139</v>
      </c>
      <c r="W22" s="1">
        <f t="shared" si="0"/>
        <v>41001</v>
      </c>
      <c r="Y22" t="s">
        <v>55</v>
      </c>
      <c r="Z22" t="s">
        <v>56</v>
      </c>
      <c r="AA22" t="s">
        <v>57</v>
      </c>
      <c r="AB22" t="s">
        <v>100</v>
      </c>
      <c r="AC22">
        <v>11</v>
      </c>
      <c r="AD22" t="s">
        <v>95</v>
      </c>
      <c r="AE22" t="s">
        <v>73</v>
      </c>
      <c r="AF22">
        <v>5</v>
      </c>
      <c r="AG22">
        <v>3</v>
      </c>
      <c r="AH22">
        <v>0</v>
      </c>
      <c r="AI22" t="s">
        <v>168</v>
      </c>
      <c r="AJ22">
        <v>0</v>
      </c>
      <c r="AK22">
        <v>13</v>
      </c>
      <c r="AL22" t="str">
        <f t="shared" si="1"/>
        <v>Bernstein, Sean</v>
      </c>
      <c r="AM22" t="str">
        <f t="shared" si="2"/>
        <v>Ber</v>
      </c>
      <c r="AN22" t="str">
        <f t="shared" si="3"/>
        <v>ean</v>
      </c>
      <c r="AO22">
        <f t="shared" si="4"/>
        <v>2012</v>
      </c>
      <c r="AP22">
        <f t="shared" si="5"/>
        <v>4</v>
      </c>
      <c r="AQ22">
        <f t="shared" ca="1" si="6"/>
        <v>14</v>
      </c>
      <c r="AR22" s="1">
        <f t="shared" ca="1" si="7"/>
        <v>46222</v>
      </c>
      <c r="AS22" t="str">
        <f t="shared" ca="1" si="8"/>
        <v>Senior</v>
      </c>
    </row>
    <row r="23" spans="1:45">
      <c r="A23" t="s">
        <v>187</v>
      </c>
      <c r="B23">
        <v>10226</v>
      </c>
      <c r="C23">
        <v>0</v>
      </c>
      <c r="D23">
        <v>2</v>
      </c>
      <c r="E23">
        <v>0</v>
      </c>
      <c r="F23">
        <v>1</v>
      </c>
      <c r="G23">
        <v>5</v>
      </c>
      <c r="H23">
        <v>3</v>
      </c>
      <c r="I23">
        <v>0</v>
      </c>
      <c r="J23">
        <v>64919</v>
      </c>
      <c r="K23">
        <v>0</v>
      </c>
      <c r="L23">
        <v>19</v>
      </c>
      <c r="M23" t="s">
        <v>46</v>
      </c>
      <c r="N23" t="s">
        <v>47</v>
      </c>
      <c r="O23">
        <v>2027</v>
      </c>
      <c r="P23" t="s">
        <v>188</v>
      </c>
      <c r="Q23" t="s">
        <v>78</v>
      </c>
      <c r="R23" t="s">
        <v>90</v>
      </c>
      <c r="S23" t="s">
        <v>51</v>
      </c>
      <c r="T23" t="s">
        <v>52</v>
      </c>
      <c r="U23" t="s">
        <v>182</v>
      </c>
      <c r="V23" t="s">
        <v>189</v>
      </c>
      <c r="W23" s="1">
        <f t="shared" si="0"/>
        <v>41505</v>
      </c>
      <c r="Y23" t="s">
        <v>55</v>
      </c>
      <c r="Z23" t="s">
        <v>56</v>
      </c>
      <c r="AA23" t="s">
        <v>57</v>
      </c>
      <c r="AB23" t="s">
        <v>113</v>
      </c>
      <c r="AC23">
        <v>19</v>
      </c>
      <c r="AD23" t="s">
        <v>72</v>
      </c>
      <c r="AE23" t="s">
        <v>73</v>
      </c>
      <c r="AF23">
        <v>4.2</v>
      </c>
      <c r="AG23">
        <v>3</v>
      </c>
      <c r="AH23">
        <v>0</v>
      </c>
      <c r="AI23" t="s">
        <v>190</v>
      </c>
      <c r="AJ23">
        <v>0</v>
      </c>
      <c r="AK23">
        <v>2</v>
      </c>
      <c r="AL23" t="str">
        <f t="shared" si="1"/>
        <v>Biden, Lowan  M</v>
      </c>
      <c r="AM23" t="str">
        <f t="shared" si="2"/>
        <v>Bid</v>
      </c>
      <c r="AN23" t="str">
        <f t="shared" si="3"/>
        <v xml:space="preserve">  M</v>
      </c>
      <c r="AO23">
        <f t="shared" si="4"/>
        <v>2013</v>
      </c>
      <c r="AP23">
        <f t="shared" si="5"/>
        <v>8</v>
      </c>
      <c r="AQ23">
        <f t="shared" ca="1" si="6"/>
        <v>12</v>
      </c>
      <c r="AR23" s="1">
        <f t="shared" ca="1" si="7"/>
        <v>46222</v>
      </c>
      <c r="AS23" t="str">
        <f t="shared" ca="1" si="8"/>
        <v>Senior</v>
      </c>
    </row>
    <row r="24" spans="1:45">
      <c r="A24" t="s">
        <v>191</v>
      </c>
      <c r="B24">
        <v>10003</v>
      </c>
      <c r="C24">
        <v>1</v>
      </c>
      <c r="D24">
        <v>1</v>
      </c>
      <c r="E24">
        <v>0</v>
      </c>
      <c r="F24">
        <v>1</v>
      </c>
      <c r="G24">
        <v>5</v>
      </c>
      <c r="H24">
        <v>4</v>
      </c>
      <c r="I24">
        <v>0</v>
      </c>
      <c r="J24">
        <v>62910</v>
      </c>
      <c r="K24">
        <v>0</v>
      </c>
      <c r="L24">
        <v>19</v>
      </c>
      <c r="M24" t="s">
        <v>46</v>
      </c>
      <c r="N24" t="s">
        <v>47</v>
      </c>
      <c r="O24">
        <v>2031</v>
      </c>
      <c r="P24" t="s">
        <v>192</v>
      </c>
      <c r="Q24" t="s">
        <v>78</v>
      </c>
      <c r="R24" t="s">
        <v>65</v>
      </c>
      <c r="S24" t="s">
        <v>51</v>
      </c>
      <c r="T24" t="s">
        <v>52</v>
      </c>
      <c r="U24" t="s">
        <v>53</v>
      </c>
      <c r="V24" t="s">
        <v>176</v>
      </c>
      <c r="W24" s="1">
        <f t="shared" si="0"/>
        <v>41827</v>
      </c>
      <c r="Y24" t="s">
        <v>55</v>
      </c>
      <c r="Z24" t="s">
        <v>56</v>
      </c>
      <c r="AA24" t="s">
        <v>57</v>
      </c>
      <c r="AB24" t="s">
        <v>120</v>
      </c>
      <c r="AC24">
        <v>12</v>
      </c>
      <c r="AD24" t="s">
        <v>72</v>
      </c>
      <c r="AE24" t="s">
        <v>60</v>
      </c>
      <c r="AF24">
        <v>5</v>
      </c>
      <c r="AG24">
        <v>3</v>
      </c>
      <c r="AH24">
        <v>0</v>
      </c>
      <c r="AI24" t="s">
        <v>193</v>
      </c>
      <c r="AJ24">
        <v>0</v>
      </c>
      <c r="AK24">
        <v>19</v>
      </c>
      <c r="AL24" t="str">
        <f t="shared" si="1"/>
        <v>Billis, Helen</v>
      </c>
      <c r="AM24" t="str">
        <f t="shared" si="2"/>
        <v>Bil</v>
      </c>
      <c r="AN24" t="str">
        <f t="shared" si="3"/>
        <v>len</v>
      </c>
      <c r="AO24">
        <f t="shared" si="4"/>
        <v>2014</v>
      </c>
      <c r="AP24">
        <f t="shared" si="5"/>
        <v>7</v>
      </c>
      <c r="AQ24">
        <f t="shared" ca="1" si="6"/>
        <v>12</v>
      </c>
      <c r="AR24" s="1">
        <f t="shared" ca="1" si="7"/>
        <v>46222</v>
      </c>
      <c r="AS24" t="str">
        <f t="shared" ca="1" si="8"/>
        <v>Senior</v>
      </c>
    </row>
    <row r="25" spans="1:45">
      <c r="A25" t="s">
        <v>194</v>
      </c>
      <c r="B25">
        <v>10294</v>
      </c>
      <c r="C25">
        <v>0</v>
      </c>
      <c r="D25">
        <v>0</v>
      </c>
      <c r="E25">
        <v>0</v>
      </c>
      <c r="F25">
        <v>1</v>
      </c>
      <c r="G25">
        <v>5</v>
      </c>
      <c r="H25">
        <v>2</v>
      </c>
      <c r="I25">
        <v>0</v>
      </c>
      <c r="J25">
        <v>66441</v>
      </c>
      <c r="K25">
        <v>0</v>
      </c>
      <c r="L25">
        <v>20</v>
      </c>
      <c r="M25" t="s">
        <v>76</v>
      </c>
      <c r="N25" t="s">
        <v>47</v>
      </c>
      <c r="O25">
        <v>2171</v>
      </c>
      <c r="P25" t="s">
        <v>195</v>
      </c>
      <c r="Q25" t="s">
        <v>78</v>
      </c>
      <c r="R25" t="s">
        <v>50</v>
      </c>
      <c r="S25" t="s">
        <v>51</v>
      </c>
      <c r="T25" t="s">
        <v>52</v>
      </c>
      <c r="U25" t="s">
        <v>53</v>
      </c>
      <c r="V25" t="s">
        <v>172</v>
      </c>
      <c r="W25" s="1">
        <f t="shared" si="0"/>
        <v>40637</v>
      </c>
      <c r="Y25" t="s">
        <v>55</v>
      </c>
      <c r="Z25" t="s">
        <v>56</v>
      </c>
      <c r="AA25" t="s">
        <v>57</v>
      </c>
      <c r="AB25" t="s">
        <v>58</v>
      </c>
      <c r="AC25">
        <v>22</v>
      </c>
      <c r="AD25" t="s">
        <v>196</v>
      </c>
      <c r="AE25" t="s">
        <v>197</v>
      </c>
      <c r="AF25">
        <v>2</v>
      </c>
      <c r="AG25">
        <v>3</v>
      </c>
      <c r="AH25">
        <v>0</v>
      </c>
      <c r="AI25" t="s">
        <v>193</v>
      </c>
      <c r="AJ25">
        <v>2</v>
      </c>
      <c r="AK25">
        <v>3</v>
      </c>
      <c r="AL25" t="str">
        <f t="shared" si="1"/>
        <v>Blount, Dianna</v>
      </c>
      <c r="AM25" t="str">
        <f t="shared" si="2"/>
        <v>Blo</v>
      </c>
      <c r="AN25" t="str">
        <f t="shared" si="3"/>
        <v>nna</v>
      </c>
      <c r="AO25">
        <f t="shared" si="4"/>
        <v>2011</v>
      </c>
      <c r="AP25">
        <f t="shared" si="5"/>
        <v>4</v>
      </c>
      <c r="AQ25">
        <f t="shared" ca="1" si="6"/>
        <v>15</v>
      </c>
      <c r="AR25" s="1">
        <f t="shared" ca="1" si="7"/>
        <v>46222</v>
      </c>
      <c r="AS25" t="str">
        <f t="shared" ca="1" si="8"/>
        <v>Senior</v>
      </c>
    </row>
    <row r="26" spans="1:45">
      <c r="A26" t="s">
        <v>198</v>
      </c>
      <c r="B26">
        <v>10267</v>
      </c>
      <c r="C26">
        <v>0</v>
      </c>
      <c r="D26">
        <v>0</v>
      </c>
      <c r="E26">
        <v>0</v>
      </c>
      <c r="F26">
        <v>5</v>
      </c>
      <c r="G26">
        <v>5</v>
      </c>
      <c r="H26">
        <v>3</v>
      </c>
      <c r="I26">
        <v>0</v>
      </c>
      <c r="J26">
        <v>57815</v>
      </c>
      <c r="K26">
        <v>1</v>
      </c>
      <c r="L26">
        <v>20</v>
      </c>
      <c r="M26" t="s">
        <v>76</v>
      </c>
      <c r="N26" t="s">
        <v>47</v>
      </c>
      <c r="O26">
        <v>2210</v>
      </c>
      <c r="P26" t="s">
        <v>199</v>
      </c>
      <c r="Q26" t="s">
        <v>78</v>
      </c>
      <c r="R26" t="s">
        <v>50</v>
      </c>
      <c r="S26" t="s">
        <v>51</v>
      </c>
      <c r="T26" t="s">
        <v>52</v>
      </c>
      <c r="U26" t="s">
        <v>53</v>
      </c>
      <c r="V26" t="s">
        <v>132</v>
      </c>
      <c r="W26" s="1">
        <f t="shared" si="0"/>
        <v>40553</v>
      </c>
      <c r="X26" t="s">
        <v>200</v>
      </c>
      <c r="Y26" t="s">
        <v>68</v>
      </c>
      <c r="Z26" t="s">
        <v>69</v>
      </c>
      <c r="AA26" t="s">
        <v>57</v>
      </c>
      <c r="AB26" t="s">
        <v>86</v>
      </c>
      <c r="AC26">
        <v>16</v>
      </c>
      <c r="AD26" t="s">
        <v>95</v>
      </c>
      <c r="AE26" t="s">
        <v>73</v>
      </c>
      <c r="AF26">
        <v>4.8</v>
      </c>
      <c r="AG26">
        <v>5</v>
      </c>
      <c r="AH26">
        <v>0</v>
      </c>
      <c r="AI26" t="s">
        <v>201</v>
      </c>
      <c r="AJ26">
        <v>0</v>
      </c>
      <c r="AK26">
        <v>5</v>
      </c>
      <c r="AL26" t="str">
        <f t="shared" si="1"/>
        <v>Bondwell, Betsy</v>
      </c>
      <c r="AM26" t="str">
        <f t="shared" si="2"/>
        <v>Bon</v>
      </c>
      <c r="AN26" t="str">
        <f t="shared" si="3"/>
        <v>tsy</v>
      </c>
      <c r="AO26">
        <f t="shared" si="4"/>
        <v>2011</v>
      </c>
      <c r="AP26">
        <f t="shared" si="5"/>
        <v>1</v>
      </c>
      <c r="AQ26">
        <f t="shared" ca="1" si="6"/>
        <v>15</v>
      </c>
      <c r="AR26" s="1">
        <f t="shared" ca="1" si="7"/>
        <v>46222</v>
      </c>
      <c r="AS26" t="str">
        <f t="shared" ca="1" si="8"/>
        <v>Senior</v>
      </c>
    </row>
    <row r="27" spans="1:45">
      <c r="A27" t="s">
        <v>202</v>
      </c>
      <c r="B27">
        <v>10199</v>
      </c>
      <c r="C27">
        <v>0</v>
      </c>
      <c r="D27">
        <v>0</v>
      </c>
      <c r="E27">
        <v>1</v>
      </c>
      <c r="F27">
        <v>4</v>
      </c>
      <c r="G27">
        <v>3</v>
      </c>
      <c r="H27">
        <v>3</v>
      </c>
      <c r="I27">
        <v>0</v>
      </c>
      <c r="J27">
        <v>103613</v>
      </c>
      <c r="K27">
        <v>1</v>
      </c>
      <c r="L27">
        <v>30</v>
      </c>
      <c r="M27" t="s">
        <v>203</v>
      </c>
      <c r="N27" t="s">
        <v>204</v>
      </c>
      <c r="O27">
        <v>6033</v>
      </c>
      <c r="P27" t="s">
        <v>205</v>
      </c>
      <c r="Q27" t="s">
        <v>49</v>
      </c>
      <c r="R27" t="s">
        <v>50</v>
      </c>
      <c r="S27" t="s">
        <v>51</v>
      </c>
      <c r="T27" t="s">
        <v>52</v>
      </c>
      <c r="U27" t="s">
        <v>118</v>
      </c>
      <c r="V27" t="s">
        <v>206</v>
      </c>
      <c r="W27" s="1">
        <f t="shared" si="0"/>
        <v>41687</v>
      </c>
      <c r="X27" t="s">
        <v>207</v>
      </c>
      <c r="Y27" t="s">
        <v>208</v>
      </c>
      <c r="Z27" t="s">
        <v>163</v>
      </c>
      <c r="AA27" t="s">
        <v>70</v>
      </c>
      <c r="AB27" t="s">
        <v>71</v>
      </c>
      <c r="AC27">
        <v>4</v>
      </c>
      <c r="AD27" t="s">
        <v>59</v>
      </c>
      <c r="AE27" t="s">
        <v>73</v>
      </c>
      <c r="AF27">
        <v>3.5</v>
      </c>
      <c r="AG27">
        <v>5</v>
      </c>
      <c r="AH27">
        <v>7</v>
      </c>
      <c r="AI27" t="s">
        <v>209</v>
      </c>
      <c r="AJ27">
        <v>0</v>
      </c>
      <c r="AK27">
        <v>2</v>
      </c>
      <c r="AL27" t="str">
        <f t="shared" si="1"/>
        <v>Booth, Frank</v>
      </c>
      <c r="AM27" t="str">
        <f t="shared" si="2"/>
        <v>Boo</v>
      </c>
      <c r="AN27" t="str">
        <f t="shared" si="3"/>
        <v>ank</v>
      </c>
      <c r="AO27">
        <f t="shared" si="4"/>
        <v>2014</v>
      </c>
      <c r="AP27">
        <f t="shared" si="5"/>
        <v>2</v>
      </c>
      <c r="AQ27">
        <f t="shared" ca="1" si="6"/>
        <v>12</v>
      </c>
      <c r="AR27" s="1">
        <f t="shared" ca="1" si="7"/>
        <v>46222</v>
      </c>
      <c r="AS27" t="str">
        <f t="shared" ca="1" si="8"/>
        <v>Senior</v>
      </c>
    </row>
    <row r="28" spans="1:45">
      <c r="A28" t="s">
        <v>210</v>
      </c>
      <c r="B28">
        <v>10081</v>
      </c>
      <c r="C28">
        <v>1</v>
      </c>
      <c r="D28">
        <v>1</v>
      </c>
      <c r="E28">
        <v>0</v>
      </c>
      <c r="F28">
        <v>1</v>
      </c>
      <c r="G28">
        <v>1</v>
      </c>
      <c r="H28">
        <v>3</v>
      </c>
      <c r="I28">
        <v>1</v>
      </c>
      <c r="J28">
        <v>106367</v>
      </c>
      <c r="K28">
        <v>0</v>
      </c>
      <c r="L28">
        <v>26</v>
      </c>
      <c r="M28" t="s">
        <v>211</v>
      </c>
      <c r="N28" t="s">
        <v>47</v>
      </c>
      <c r="O28">
        <v>2468</v>
      </c>
      <c r="P28" t="s">
        <v>212</v>
      </c>
      <c r="Q28" t="s">
        <v>78</v>
      </c>
      <c r="R28" t="s">
        <v>65</v>
      </c>
      <c r="S28" t="s">
        <v>51</v>
      </c>
      <c r="T28" t="s">
        <v>52</v>
      </c>
      <c r="U28" t="s">
        <v>118</v>
      </c>
      <c r="V28" t="s">
        <v>213</v>
      </c>
      <c r="W28" s="1">
        <f t="shared" si="0"/>
        <v>42051</v>
      </c>
      <c r="Y28" t="s">
        <v>55</v>
      </c>
      <c r="Z28" t="s">
        <v>56</v>
      </c>
      <c r="AA28" t="s">
        <v>214</v>
      </c>
      <c r="AB28" t="s">
        <v>215</v>
      </c>
      <c r="AC28">
        <v>3</v>
      </c>
      <c r="AD28" t="s">
        <v>121</v>
      </c>
      <c r="AE28" t="s">
        <v>73</v>
      </c>
      <c r="AF28">
        <v>5</v>
      </c>
      <c r="AG28">
        <v>4</v>
      </c>
      <c r="AH28">
        <v>3</v>
      </c>
      <c r="AI28" t="s">
        <v>128</v>
      </c>
      <c r="AJ28">
        <v>0</v>
      </c>
      <c r="AK28">
        <v>4</v>
      </c>
      <c r="AL28" t="str">
        <f t="shared" si="1"/>
        <v>Boutwell, Bonalyn</v>
      </c>
      <c r="AM28" t="str">
        <f t="shared" si="2"/>
        <v>Bou</v>
      </c>
      <c r="AN28" t="str">
        <f t="shared" si="3"/>
        <v>lyn</v>
      </c>
      <c r="AO28">
        <f t="shared" si="4"/>
        <v>2015</v>
      </c>
      <c r="AP28">
        <f t="shared" si="5"/>
        <v>2</v>
      </c>
      <c r="AQ28">
        <f t="shared" ca="1" si="6"/>
        <v>11</v>
      </c>
      <c r="AR28" s="1">
        <f t="shared" ca="1" si="7"/>
        <v>46222</v>
      </c>
      <c r="AS28" t="str">
        <f t="shared" ca="1" si="8"/>
        <v>Senior</v>
      </c>
    </row>
    <row r="29" spans="1:45">
      <c r="A29" t="s">
        <v>216</v>
      </c>
      <c r="B29">
        <v>10175</v>
      </c>
      <c r="C29">
        <v>0</v>
      </c>
      <c r="D29">
        <v>0</v>
      </c>
      <c r="E29">
        <v>1</v>
      </c>
      <c r="F29">
        <v>5</v>
      </c>
      <c r="G29">
        <v>5</v>
      </c>
      <c r="H29">
        <v>3</v>
      </c>
      <c r="I29">
        <v>0</v>
      </c>
      <c r="J29">
        <v>74312</v>
      </c>
      <c r="K29">
        <v>1</v>
      </c>
      <c r="L29">
        <v>18</v>
      </c>
      <c r="M29" t="s">
        <v>217</v>
      </c>
      <c r="N29" t="s">
        <v>47</v>
      </c>
      <c r="O29">
        <v>1901</v>
      </c>
      <c r="P29" t="s">
        <v>218</v>
      </c>
      <c r="Q29" t="s">
        <v>49</v>
      </c>
      <c r="R29" t="s">
        <v>50</v>
      </c>
      <c r="S29" t="s">
        <v>51</v>
      </c>
      <c r="T29" t="s">
        <v>52</v>
      </c>
      <c r="U29" t="s">
        <v>182</v>
      </c>
      <c r="V29" t="s">
        <v>112</v>
      </c>
      <c r="W29" s="1">
        <f t="shared" si="0"/>
        <v>41547</v>
      </c>
      <c r="X29" t="s">
        <v>219</v>
      </c>
      <c r="Y29" t="s">
        <v>220</v>
      </c>
      <c r="Z29" t="s">
        <v>69</v>
      </c>
      <c r="AA29" t="s">
        <v>57</v>
      </c>
      <c r="AB29" t="s">
        <v>221</v>
      </c>
      <c r="AC29">
        <v>2</v>
      </c>
      <c r="AD29" t="s">
        <v>72</v>
      </c>
      <c r="AE29" t="s">
        <v>73</v>
      </c>
      <c r="AF29">
        <v>3.39</v>
      </c>
      <c r="AG29">
        <v>3</v>
      </c>
      <c r="AH29">
        <v>0</v>
      </c>
      <c r="AI29" t="s">
        <v>222</v>
      </c>
      <c r="AJ29">
        <v>0</v>
      </c>
      <c r="AK29">
        <v>14</v>
      </c>
      <c r="AL29" t="str">
        <f t="shared" si="1"/>
        <v>Bozzi, Charles</v>
      </c>
      <c r="AM29" t="str">
        <f t="shared" si="2"/>
        <v>Boz</v>
      </c>
      <c r="AN29" t="str">
        <f t="shared" si="3"/>
        <v>les</v>
      </c>
      <c r="AO29">
        <f t="shared" si="4"/>
        <v>2013</v>
      </c>
      <c r="AP29">
        <f t="shared" si="5"/>
        <v>9</v>
      </c>
      <c r="AQ29">
        <f t="shared" ca="1" si="6"/>
        <v>12</v>
      </c>
      <c r="AR29" s="1">
        <f t="shared" ca="1" si="7"/>
        <v>46222</v>
      </c>
      <c r="AS29" t="str">
        <f t="shared" ca="1" si="8"/>
        <v>Senior</v>
      </c>
    </row>
    <row r="30" spans="1:45">
      <c r="A30" t="s">
        <v>223</v>
      </c>
      <c r="B30">
        <v>10177</v>
      </c>
      <c r="C30">
        <v>1</v>
      </c>
      <c r="D30">
        <v>1</v>
      </c>
      <c r="E30">
        <v>0</v>
      </c>
      <c r="F30">
        <v>5</v>
      </c>
      <c r="G30">
        <v>5</v>
      </c>
      <c r="H30">
        <v>3</v>
      </c>
      <c r="I30">
        <v>0</v>
      </c>
      <c r="J30">
        <v>53492</v>
      </c>
      <c r="K30">
        <v>1</v>
      </c>
      <c r="L30">
        <v>19</v>
      </c>
      <c r="M30" t="s">
        <v>46</v>
      </c>
      <c r="N30" t="s">
        <v>47</v>
      </c>
      <c r="O30">
        <v>1701</v>
      </c>
      <c r="P30" t="s">
        <v>224</v>
      </c>
      <c r="Q30" t="s">
        <v>78</v>
      </c>
      <c r="R30" t="s">
        <v>65</v>
      </c>
      <c r="S30" t="s">
        <v>51</v>
      </c>
      <c r="T30" t="s">
        <v>52</v>
      </c>
      <c r="U30" t="s">
        <v>53</v>
      </c>
      <c r="V30" t="s">
        <v>139</v>
      </c>
      <c r="W30" s="1">
        <f t="shared" si="0"/>
        <v>41001</v>
      </c>
      <c r="X30" t="s">
        <v>225</v>
      </c>
      <c r="Y30" t="s">
        <v>134</v>
      </c>
      <c r="Z30" t="s">
        <v>69</v>
      </c>
      <c r="AA30" t="s">
        <v>57</v>
      </c>
      <c r="AB30" t="s">
        <v>135</v>
      </c>
      <c r="AC30">
        <v>14</v>
      </c>
      <c r="AD30" t="s">
        <v>95</v>
      </c>
      <c r="AE30" t="s">
        <v>73</v>
      </c>
      <c r="AF30">
        <v>3.35</v>
      </c>
      <c r="AG30">
        <v>4</v>
      </c>
      <c r="AH30">
        <v>0</v>
      </c>
      <c r="AI30" t="s">
        <v>226</v>
      </c>
      <c r="AJ30">
        <v>0</v>
      </c>
      <c r="AK30">
        <v>6</v>
      </c>
      <c r="AL30" t="str">
        <f t="shared" si="1"/>
        <v>Brill, Donna</v>
      </c>
      <c r="AM30" t="str">
        <f t="shared" si="2"/>
        <v>Bri</v>
      </c>
      <c r="AN30" t="str">
        <f t="shared" si="3"/>
        <v>nna</v>
      </c>
      <c r="AO30">
        <f t="shared" si="4"/>
        <v>2012</v>
      </c>
      <c r="AP30">
        <f t="shared" si="5"/>
        <v>4</v>
      </c>
      <c r="AQ30">
        <f t="shared" ca="1" si="6"/>
        <v>14</v>
      </c>
      <c r="AR30" s="1">
        <f t="shared" ca="1" si="7"/>
        <v>46222</v>
      </c>
      <c r="AS30" t="str">
        <f t="shared" ca="1" si="8"/>
        <v>Senior</v>
      </c>
    </row>
    <row r="31" spans="1:45">
      <c r="A31" t="s">
        <v>227</v>
      </c>
      <c r="B31">
        <v>10238</v>
      </c>
      <c r="C31">
        <v>1</v>
      </c>
      <c r="D31">
        <v>1</v>
      </c>
      <c r="E31">
        <v>0</v>
      </c>
      <c r="F31">
        <v>1</v>
      </c>
      <c r="G31">
        <v>1</v>
      </c>
      <c r="H31">
        <v>3</v>
      </c>
      <c r="I31">
        <v>1</v>
      </c>
      <c r="J31">
        <v>63000</v>
      </c>
      <c r="K31">
        <v>0</v>
      </c>
      <c r="L31">
        <v>1</v>
      </c>
      <c r="M31" t="s">
        <v>228</v>
      </c>
      <c r="N31" t="s">
        <v>47</v>
      </c>
      <c r="O31">
        <v>1450</v>
      </c>
      <c r="P31" t="s">
        <v>229</v>
      </c>
      <c r="Q31" t="s">
        <v>78</v>
      </c>
      <c r="R31" t="s">
        <v>65</v>
      </c>
      <c r="S31" t="s">
        <v>51</v>
      </c>
      <c r="T31" t="s">
        <v>52</v>
      </c>
      <c r="U31" t="s">
        <v>118</v>
      </c>
      <c r="V31" t="s">
        <v>230</v>
      </c>
      <c r="W31" s="1">
        <f t="shared" si="0"/>
        <v>39748</v>
      </c>
      <c r="Y31" t="s">
        <v>55</v>
      </c>
      <c r="Z31" t="s">
        <v>56</v>
      </c>
      <c r="AA31" t="s">
        <v>214</v>
      </c>
      <c r="AB31" t="s">
        <v>215</v>
      </c>
      <c r="AC31">
        <v>1</v>
      </c>
      <c r="AD31" t="s">
        <v>121</v>
      </c>
      <c r="AE31" t="s">
        <v>73</v>
      </c>
      <c r="AF31">
        <v>4.5</v>
      </c>
      <c r="AG31">
        <v>2</v>
      </c>
      <c r="AH31">
        <v>6</v>
      </c>
      <c r="AI31" t="s">
        <v>231</v>
      </c>
      <c r="AJ31">
        <v>0</v>
      </c>
      <c r="AK31">
        <v>14</v>
      </c>
      <c r="AL31" t="str">
        <f t="shared" si="1"/>
        <v>Brown, Mia</v>
      </c>
      <c r="AM31" t="str">
        <f t="shared" si="2"/>
        <v>Bro</v>
      </c>
      <c r="AN31" t="str">
        <f t="shared" si="3"/>
        <v>Mia</v>
      </c>
      <c r="AO31">
        <f t="shared" si="4"/>
        <v>2008</v>
      </c>
      <c r="AP31">
        <f t="shared" si="5"/>
        <v>10</v>
      </c>
      <c r="AQ31">
        <f t="shared" ca="1" si="6"/>
        <v>17</v>
      </c>
      <c r="AR31" s="1">
        <f t="shared" ca="1" si="7"/>
        <v>46222</v>
      </c>
      <c r="AS31" t="str">
        <f t="shared" ca="1" si="8"/>
        <v>Senior</v>
      </c>
    </row>
    <row r="32" spans="1:45">
      <c r="A32" t="s">
        <v>232</v>
      </c>
      <c r="B32">
        <v>10184</v>
      </c>
      <c r="C32">
        <v>0</v>
      </c>
      <c r="D32">
        <v>0</v>
      </c>
      <c r="E32">
        <v>1</v>
      </c>
      <c r="F32">
        <v>1</v>
      </c>
      <c r="G32">
        <v>5</v>
      </c>
      <c r="H32">
        <v>3</v>
      </c>
      <c r="I32">
        <v>0</v>
      </c>
      <c r="J32">
        <v>65288</v>
      </c>
      <c r="K32">
        <v>0</v>
      </c>
      <c r="L32">
        <v>20</v>
      </c>
      <c r="M32" t="s">
        <v>76</v>
      </c>
      <c r="N32" t="s">
        <v>47</v>
      </c>
      <c r="O32">
        <v>1013</v>
      </c>
      <c r="P32" t="s">
        <v>233</v>
      </c>
      <c r="Q32" t="s">
        <v>49</v>
      </c>
      <c r="R32" t="s">
        <v>50</v>
      </c>
      <c r="S32" t="s">
        <v>51</v>
      </c>
      <c r="T32" t="s">
        <v>52</v>
      </c>
      <c r="U32" t="s">
        <v>53</v>
      </c>
      <c r="V32" t="s">
        <v>234</v>
      </c>
      <c r="W32" s="1">
        <f t="shared" si="0"/>
        <v>41911</v>
      </c>
      <c r="Y32" t="s">
        <v>55</v>
      </c>
      <c r="Z32" t="s">
        <v>56</v>
      </c>
      <c r="AA32" t="s">
        <v>57</v>
      </c>
      <c r="AB32" t="s">
        <v>94</v>
      </c>
      <c r="AD32" t="s">
        <v>95</v>
      </c>
      <c r="AE32" t="s">
        <v>73</v>
      </c>
      <c r="AF32">
        <v>3.19</v>
      </c>
      <c r="AG32">
        <v>3</v>
      </c>
      <c r="AH32">
        <v>0</v>
      </c>
      <c r="AI32" t="s">
        <v>235</v>
      </c>
      <c r="AJ32">
        <v>0</v>
      </c>
      <c r="AK32">
        <v>9</v>
      </c>
      <c r="AL32" t="str">
        <f t="shared" si="1"/>
        <v xml:space="preserve">Buccheri, Joseph  </v>
      </c>
      <c r="AM32" t="str">
        <f t="shared" si="2"/>
        <v>Buc</v>
      </c>
      <c r="AN32" t="str">
        <f t="shared" si="3"/>
        <v xml:space="preserve">h  </v>
      </c>
      <c r="AO32">
        <f t="shared" si="4"/>
        <v>2014</v>
      </c>
      <c r="AP32">
        <f t="shared" si="5"/>
        <v>9</v>
      </c>
      <c r="AQ32">
        <f t="shared" ca="1" si="6"/>
        <v>11</v>
      </c>
      <c r="AR32" s="1">
        <f t="shared" ca="1" si="7"/>
        <v>46222</v>
      </c>
      <c r="AS32" t="str">
        <f t="shared" ca="1" si="8"/>
        <v>Senior</v>
      </c>
    </row>
    <row r="33" spans="1:45">
      <c r="A33" t="s">
        <v>236</v>
      </c>
      <c r="B33">
        <v>10203</v>
      </c>
      <c r="C33">
        <v>0</v>
      </c>
      <c r="D33">
        <v>3</v>
      </c>
      <c r="E33">
        <v>0</v>
      </c>
      <c r="F33">
        <v>3</v>
      </c>
      <c r="G33">
        <v>5</v>
      </c>
      <c r="H33">
        <v>3</v>
      </c>
      <c r="I33">
        <v>1</v>
      </c>
      <c r="J33">
        <v>64375</v>
      </c>
      <c r="K33">
        <v>0</v>
      </c>
      <c r="L33">
        <v>19</v>
      </c>
      <c r="M33" t="s">
        <v>46</v>
      </c>
      <c r="N33" t="s">
        <v>47</v>
      </c>
      <c r="O33">
        <v>2043</v>
      </c>
      <c r="P33" t="s">
        <v>237</v>
      </c>
      <c r="Q33" t="s">
        <v>78</v>
      </c>
      <c r="R33" t="s">
        <v>238</v>
      </c>
      <c r="S33" t="s">
        <v>51</v>
      </c>
      <c r="T33" t="s">
        <v>52</v>
      </c>
      <c r="U33" t="s">
        <v>118</v>
      </c>
      <c r="V33" t="s">
        <v>239</v>
      </c>
      <c r="W33" s="1">
        <f t="shared" si="0"/>
        <v>41589</v>
      </c>
      <c r="Y33" t="s">
        <v>55</v>
      </c>
      <c r="Z33" t="s">
        <v>56</v>
      </c>
      <c r="AA33" t="s">
        <v>57</v>
      </c>
      <c r="AB33" t="s">
        <v>81</v>
      </c>
      <c r="AC33">
        <v>20</v>
      </c>
      <c r="AD33" t="s">
        <v>121</v>
      </c>
      <c r="AE33" t="s">
        <v>73</v>
      </c>
      <c r="AF33">
        <v>3.5</v>
      </c>
      <c r="AG33">
        <v>5</v>
      </c>
      <c r="AH33">
        <v>0</v>
      </c>
      <c r="AI33" t="s">
        <v>240</v>
      </c>
      <c r="AJ33">
        <v>0</v>
      </c>
      <c r="AK33">
        <v>17</v>
      </c>
      <c r="AL33" t="str">
        <f t="shared" si="1"/>
        <v xml:space="preserve">Bugali, Josephine </v>
      </c>
      <c r="AM33" t="str">
        <f t="shared" si="2"/>
        <v>Bug</v>
      </c>
      <c r="AN33" t="str">
        <f t="shared" si="3"/>
        <v xml:space="preserve">ne </v>
      </c>
      <c r="AO33">
        <f t="shared" si="4"/>
        <v>2013</v>
      </c>
      <c r="AP33">
        <f t="shared" si="5"/>
        <v>11</v>
      </c>
      <c r="AQ33">
        <f t="shared" ca="1" si="6"/>
        <v>12</v>
      </c>
      <c r="AR33" s="1">
        <f t="shared" ca="1" si="7"/>
        <v>46222</v>
      </c>
      <c r="AS33" t="str">
        <f t="shared" ca="1" si="8"/>
        <v>Senior</v>
      </c>
    </row>
    <row r="34" spans="1:45">
      <c r="A34" t="s">
        <v>241</v>
      </c>
      <c r="B34">
        <v>10188</v>
      </c>
      <c r="C34">
        <v>1</v>
      </c>
      <c r="D34">
        <v>1</v>
      </c>
      <c r="E34">
        <v>0</v>
      </c>
      <c r="F34">
        <v>5</v>
      </c>
      <c r="G34">
        <v>6</v>
      </c>
      <c r="H34">
        <v>3</v>
      </c>
      <c r="I34">
        <v>0</v>
      </c>
      <c r="J34">
        <v>74326</v>
      </c>
      <c r="K34">
        <v>1</v>
      </c>
      <c r="L34">
        <v>3</v>
      </c>
      <c r="M34" t="s">
        <v>242</v>
      </c>
      <c r="N34" t="s">
        <v>243</v>
      </c>
      <c r="O34">
        <v>21851</v>
      </c>
      <c r="P34" t="s">
        <v>244</v>
      </c>
      <c r="Q34" t="s">
        <v>78</v>
      </c>
      <c r="R34" t="s">
        <v>65</v>
      </c>
      <c r="S34" t="s">
        <v>171</v>
      </c>
      <c r="T34" t="s">
        <v>52</v>
      </c>
      <c r="U34" t="s">
        <v>118</v>
      </c>
      <c r="V34" t="s">
        <v>245</v>
      </c>
      <c r="W34" s="1">
        <f t="shared" si="0"/>
        <v>40770</v>
      </c>
      <c r="X34" t="s">
        <v>246</v>
      </c>
      <c r="Y34" t="s">
        <v>134</v>
      </c>
      <c r="Z34" t="s">
        <v>69</v>
      </c>
      <c r="AA34" t="s">
        <v>247</v>
      </c>
      <c r="AB34" t="s">
        <v>248</v>
      </c>
      <c r="AC34">
        <v>17</v>
      </c>
      <c r="AD34" t="s">
        <v>95</v>
      </c>
      <c r="AE34" t="s">
        <v>73</v>
      </c>
      <c r="AF34">
        <v>3.14</v>
      </c>
      <c r="AG34">
        <v>5</v>
      </c>
      <c r="AH34">
        <v>0</v>
      </c>
      <c r="AI34" t="s">
        <v>249</v>
      </c>
      <c r="AJ34">
        <v>1</v>
      </c>
      <c r="AK34">
        <v>19</v>
      </c>
      <c r="AL34" t="str">
        <f t="shared" si="1"/>
        <v>Bunbury, Jessica</v>
      </c>
      <c r="AM34" t="str">
        <f t="shared" si="2"/>
        <v>Bun</v>
      </c>
      <c r="AN34" t="str">
        <f t="shared" si="3"/>
        <v>ica</v>
      </c>
      <c r="AO34">
        <f t="shared" si="4"/>
        <v>2011</v>
      </c>
      <c r="AP34">
        <f t="shared" si="5"/>
        <v>8</v>
      </c>
      <c r="AQ34">
        <f t="shared" ca="1" si="6"/>
        <v>14</v>
      </c>
      <c r="AR34" s="1">
        <f t="shared" ca="1" si="7"/>
        <v>46222</v>
      </c>
      <c r="AS34" t="str">
        <f t="shared" ca="1" si="8"/>
        <v>Senior</v>
      </c>
    </row>
    <row r="35" spans="1:45">
      <c r="A35" t="s">
        <v>250</v>
      </c>
      <c r="B35">
        <v>10107</v>
      </c>
      <c r="C35">
        <v>0</v>
      </c>
      <c r="D35">
        <v>0</v>
      </c>
      <c r="E35">
        <v>0</v>
      </c>
      <c r="F35">
        <v>1</v>
      </c>
      <c r="G35">
        <v>5</v>
      </c>
      <c r="H35">
        <v>3</v>
      </c>
      <c r="I35">
        <v>0</v>
      </c>
      <c r="J35">
        <v>63763</v>
      </c>
      <c r="K35">
        <v>0</v>
      </c>
      <c r="L35">
        <v>20</v>
      </c>
      <c r="M35" t="s">
        <v>76</v>
      </c>
      <c r="N35" t="s">
        <v>47</v>
      </c>
      <c r="O35">
        <v>2148</v>
      </c>
      <c r="P35" t="s">
        <v>251</v>
      </c>
      <c r="Q35" t="s">
        <v>78</v>
      </c>
      <c r="R35" t="s">
        <v>50</v>
      </c>
      <c r="S35" t="s">
        <v>51</v>
      </c>
      <c r="T35" t="s">
        <v>52</v>
      </c>
      <c r="U35" t="s">
        <v>118</v>
      </c>
      <c r="V35" t="s">
        <v>252</v>
      </c>
      <c r="W35" s="1">
        <f t="shared" si="0"/>
        <v>40973</v>
      </c>
      <c r="Y35" t="s">
        <v>55</v>
      </c>
      <c r="Z35" t="s">
        <v>56</v>
      </c>
      <c r="AA35" t="s">
        <v>57</v>
      </c>
      <c r="AB35" t="s">
        <v>100</v>
      </c>
      <c r="AC35">
        <v>11</v>
      </c>
      <c r="AD35" t="s">
        <v>114</v>
      </c>
      <c r="AE35" t="s">
        <v>73</v>
      </c>
      <c r="AF35">
        <v>4.51</v>
      </c>
      <c r="AG35">
        <v>4</v>
      </c>
      <c r="AH35">
        <v>0</v>
      </c>
      <c r="AI35" t="s">
        <v>253</v>
      </c>
      <c r="AJ35">
        <v>0</v>
      </c>
      <c r="AK35">
        <v>3</v>
      </c>
      <c r="AL35" t="str">
        <f t="shared" si="1"/>
        <v>Burke, Joelle</v>
      </c>
      <c r="AM35" t="str">
        <f t="shared" si="2"/>
        <v>Bur</v>
      </c>
      <c r="AN35" t="str">
        <f t="shared" si="3"/>
        <v>lle</v>
      </c>
      <c r="AO35">
        <f t="shared" si="4"/>
        <v>2012</v>
      </c>
      <c r="AP35">
        <f t="shared" si="5"/>
        <v>3</v>
      </c>
      <c r="AQ35">
        <f t="shared" ca="1" si="6"/>
        <v>14</v>
      </c>
      <c r="AR35" s="1">
        <f t="shared" ca="1" si="7"/>
        <v>46222</v>
      </c>
      <c r="AS35" t="str">
        <f t="shared" ca="1" si="8"/>
        <v>Senior</v>
      </c>
    </row>
    <row r="36" spans="1:45">
      <c r="A36" t="s">
        <v>254</v>
      </c>
      <c r="B36">
        <v>10181</v>
      </c>
      <c r="C36">
        <v>1</v>
      </c>
      <c r="D36">
        <v>1</v>
      </c>
      <c r="E36">
        <v>1</v>
      </c>
      <c r="F36">
        <v>1</v>
      </c>
      <c r="G36">
        <v>5</v>
      </c>
      <c r="H36">
        <v>3</v>
      </c>
      <c r="I36">
        <v>0</v>
      </c>
      <c r="J36">
        <v>62162</v>
      </c>
      <c r="K36">
        <v>0</v>
      </c>
      <c r="L36">
        <v>20</v>
      </c>
      <c r="M36" t="s">
        <v>76</v>
      </c>
      <c r="N36" t="s">
        <v>47</v>
      </c>
      <c r="O36">
        <v>1890</v>
      </c>
      <c r="P36" t="s">
        <v>255</v>
      </c>
      <c r="Q36" t="s">
        <v>49</v>
      </c>
      <c r="R36" t="s">
        <v>65</v>
      </c>
      <c r="S36" t="s">
        <v>51</v>
      </c>
      <c r="T36" t="s">
        <v>52</v>
      </c>
      <c r="U36" t="s">
        <v>53</v>
      </c>
      <c r="V36" t="s">
        <v>172</v>
      </c>
      <c r="W36" s="1">
        <f t="shared" si="0"/>
        <v>40637</v>
      </c>
      <c r="Y36" t="s">
        <v>55</v>
      </c>
      <c r="Z36" t="s">
        <v>56</v>
      </c>
      <c r="AA36" t="s">
        <v>57</v>
      </c>
      <c r="AB36" t="s">
        <v>113</v>
      </c>
      <c r="AC36">
        <v>19</v>
      </c>
      <c r="AD36" t="s">
        <v>72</v>
      </c>
      <c r="AE36" t="s">
        <v>73</v>
      </c>
      <c r="AF36">
        <v>3.25</v>
      </c>
      <c r="AG36">
        <v>5</v>
      </c>
      <c r="AH36">
        <v>0</v>
      </c>
      <c r="AI36" t="s">
        <v>168</v>
      </c>
      <c r="AJ36">
        <v>0</v>
      </c>
      <c r="AK36">
        <v>15</v>
      </c>
      <c r="AL36" t="str">
        <f t="shared" si="1"/>
        <v xml:space="preserve">Burkett, Benjamin </v>
      </c>
      <c r="AM36" t="str">
        <f t="shared" si="2"/>
        <v>Bur</v>
      </c>
      <c r="AN36" t="str">
        <f t="shared" si="3"/>
        <v xml:space="preserve">in </v>
      </c>
      <c r="AO36">
        <f t="shared" si="4"/>
        <v>2011</v>
      </c>
      <c r="AP36">
        <f t="shared" si="5"/>
        <v>4</v>
      </c>
      <c r="AQ36">
        <f t="shared" ca="1" si="6"/>
        <v>15</v>
      </c>
      <c r="AR36" s="1">
        <f t="shared" ca="1" si="7"/>
        <v>46222</v>
      </c>
      <c r="AS36" t="str">
        <f t="shared" ca="1" si="8"/>
        <v>Senior</v>
      </c>
    </row>
    <row r="37" spans="1:45">
      <c r="A37" t="s">
        <v>256</v>
      </c>
      <c r="B37">
        <v>10150</v>
      </c>
      <c r="C37">
        <v>0</v>
      </c>
      <c r="D37">
        <v>0</v>
      </c>
      <c r="E37">
        <v>1</v>
      </c>
      <c r="F37">
        <v>1</v>
      </c>
      <c r="G37">
        <v>4</v>
      </c>
      <c r="H37">
        <v>3</v>
      </c>
      <c r="I37">
        <v>0</v>
      </c>
      <c r="J37">
        <v>77692</v>
      </c>
      <c r="K37">
        <v>0</v>
      </c>
      <c r="L37">
        <v>25</v>
      </c>
      <c r="M37" t="s">
        <v>257</v>
      </c>
      <c r="N37" t="s">
        <v>47</v>
      </c>
      <c r="O37">
        <v>2184</v>
      </c>
      <c r="P37" t="s">
        <v>258</v>
      </c>
      <c r="Q37" t="s">
        <v>49</v>
      </c>
      <c r="R37" t="s">
        <v>50</v>
      </c>
      <c r="S37" t="s">
        <v>51</v>
      </c>
      <c r="T37" t="s">
        <v>52</v>
      </c>
      <c r="U37" t="s">
        <v>53</v>
      </c>
      <c r="V37" t="s">
        <v>245</v>
      </c>
      <c r="W37" s="1">
        <f t="shared" si="0"/>
        <v>40770</v>
      </c>
      <c r="Y37" t="s">
        <v>55</v>
      </c>
      <c r="Z37" t="s">
        <v>56</v>
      </c>
      <c r="AA37" t="s">
        <v>106</v>
      </c>
      <c r="AB37" t="s">
        <v>259</v>
      </c>
      <c r="AC37">
        <v>5</v>
      </c>
      <c r="AD37" t="s">
        <v>95</v>
      </c>
      <c r="AE37" t="s">
        <v>73</v>
      </c>
      <c r="AF37">
        <v>3.84</v>
      </c>
      <c r="AG37">
        <v>3</v>
      </c>
      <c r="AH37">
        <v>5</v>
      </c>
      <c r="AI37" t="s">
        <v>240</v>
      </c>
      <c r="AJ37">
        <v>0</v>
      </c>
      <c r="AK37">
        <v>4</v>
      </c>
      <c r="AL37" t="str">
        <f t="shared" si="1"/>
        <v xml:space="preserve">Cady, Max </v>
      </c>
      <c r="AM37" t="str">
        <f t="shared" si="2"/>
        <v>Cad</v>
      </c>
      <c r="AN37" t="str">
        <f t="shared" si="3"/>
        <v xml:space="preserve">ax </v>
      </c>
      <c r="AO37">
        <f t="shared" si="4"/>
        <v>2011</v>
      </c>
      <c r="AP37">
        <f t="shared" si="5"/>
        <v>8</v>
      </c>
      <c r="AQ37">
        <f t="shared" ca="1" si="6"/>
        <v>14</v>
      </c>
      <c r="AR37" s="1">
        <f t="shared" ca="1" si="7"/>
        <v>46222</v>
      </c>
      <c r="AS37" t="str">
        <f t="shared" ca="1" si="8"/>
        <v>Senior</v>
      </c>
    </row>
    <row r="38" spans="1:45">
      <c r="A38" t="s">
        <v>260</v>
      </c>
      <c r="B38">
        <v>10001</v>
      </c>
      <c r="C38">
        <v>0</v>
      </c>
      <c r="D38">
        <v>0</v>
      </c>
      <c r="E38">
        <v>1</v>
      </c>
      <c r="F38">
        <v>1</v>
      </c>
      <c r="G38">
        <v>5</v>
      </c>
      <c r="H38">
        <v>4</v>
      </c>
      <c r="I38">
        <v>0</v>
      </c>
      <c r="J38">
        <v>72640</v>
      </c>
      <c r="K38">
        <v>0</v>
      </c>
      <c r="L38">
        <v>18</v>
      </c>
      <c r="M38" t="s">
        <v>217</v>
      </c>
      <c r="N38" t="s">
        <v>47</v>
      </c>
      <c r="O38">
        <v>2169</v>
      </c>
      <c r="P38" t="s">
        <v>261</v>
      </c>
      <c r="Q38" t="s">
        <v>49</v>
      </c>
      <c r="R38" t="s">
        <v>50</v>
      </c>
      <c r="S38" t="s">
        <v>51</v>
      </c>
      <c r="T38" t="s">
        <v>52</v>
      </c>
      <c r="U38" t="s">
        <v>53</v>
      </c>
      <c r="V38" t="s">
        <v>262</v>
      </c>
      <c r="W38" s="1">
        <f t="shared" si="0"/>
        <v>42397</v>
      </c>
      <c r="Y38" t="s">
        <v>55</v>
      </c>
      <c r="Z38" t="s">
        <v>56</v>
      </c>
      <c r="AA38" t="s">
        <v>57</v>
      </c>
      <c r="AB38" t="s">
        <v>221</v>
      </c>
      <c r="AC38">
        <v>2</v>
      </c>
      <c r="AD38" t="s">
        <v>72</v>
      </c>
      <c r="AE38" t="s">
        <v>60</v>
      </c>
      <c r="AF38">
        <v>5</v>
      </c>
      <c r="AG38">
        <v>3</v>
      </c>
      <c r="AH38">
        <v>0</v>
      </c>
      <c r="AI38" t="s">
        <v>263</v>
      </c>
      <c r="AJ38">
        <v>0</v>
      </c>
      <c r="AK38">
        <v>14</v>
      </c>
      <c r="AL38" t="str">
        <f t="shared" si="1"/>
        <v>Candie, Calvin</v>
      </c>
      <c r="AM38" t="str">
        <f t="shared" si="2"/>
        <v>Can</v>
      </c>
      <c r="AN38" t="str">
        <f t="shared" si="3"/>
        <v>vin</v>
      </c>
      <c r="AO38">
        <f t="shared" si="4"/>
        <v>2016</v>
      </c>
      <c r="AP38">
        <f t="shared" si="5"/>
        <v>1</v>
      </c>
      <c r="AQ38">
        <f t="shared" ca="1" si="6"/>
        <v>10</v>
      </c>
      <c r="AR38" s="1">
        <f t="shared" ca="1" si="7"/>
        <v>46222</v>
      </c>
      <c r="AS38" t="str">
        <f t="shared" ca="1" si="8"/>
        <v>Senior</v>
      </c>
    </row>
    <row r="39" spans="1:45">
      <c r="A39" t="s">
        <v>264</v>
      </c>
      <c r="B39">
        <v>10085</v>
      </c>
      <c r="C39">
        <v>0</v>
      </c>
      <c r="D39">
        <v>0</v>
      </c>
      <c r="E39">
        <v>0</v>
      </c>
      <c r="F39">
        <v>1</v>
      </c>
      <c r="G39">
        <v>4</v>
      </c>
      <c r="H39">
        <v>3</v>
      </c>
      <c r="I39">
        <v>0</v>
      </c>
      <c r="J39">
        <v>93396</v>
      </c>
      <c r="K39">
        <v>0</v>
      </c>
      <c r="L39">
        <v>24</v>
      </c>
      <c r="M39" t="s">
        <v>103</v>
      </c>
      <c r="N39" t="s">
        <v>47</v>
      </c>
      <c r="O39">
        <v>2132</v>
      </c>
      <c r="P39" t="s">
        <v>265</v>
      </c>
      <c r="Q39" t="s">
        <v>78</v>
      </c>
      <c r="R39" t="s">
        <v>50</v>
      </c>
      <c r="S39" t="s">
        <v>51</v>
      </c>
      <c r="T39" t="s">
        <v>52</v>
      </c>
      <c r="U39" t="s">
        <v>53</v>
      </c>
      <c r="V39" t="s">
        <v>239</v>
      </c>
      <c r="W39" s="1">
        <f t="shared" si="0"/>
        <v>41589</v>
      </c>
      <c r="Y39" t="s">
        <v>55</v>
      </c>
      <c r="Z39" t="s">
        <v>56</v>
      </c>
      <c r="AA39" t="s">
        <v>106</v>
      </c>
      <c r="AB39" t="s">
        <v>107</v>
      </c>
      <c r="AC39">
        <v>10</v>
      </c>
      <c r="AD39" t="s">
        <v>72</v>
      </c>
      <c r="AE39" t="s">
        <v>73</v>
      </c>
      <c r="AF39">
        <v>4.96</v>
      </c>
      <c r="AG39">
        <v>4</v>
      </c>
      <c r="AH39">
        <v>6</v>
      </c>
      <c r="AI39" t="s">
        <v>266</v>
      </c>
      <c r="AJ39">
        <v>0</v>
      </c>
      <c r="AK39">
        <v>3</v>
      </c>
      <c r="AL39" t="str">
        <f t="shared" si="1"/>
        <v>Carabbio, Judith</v>
      </c>
      <c r="AM39" t="str">
        <f t="shared" si="2"/>
        <v>Car</v>
      </c>
      <c r="AN39" t="str">
        <f t="shared" si="3"/>
        <v>ith</v>
      </c>
      <c r="AO39">
        <f t="shared" si="4"/>
        <v>2013</v>
      </c>
      <c r="AP39">
        <f t="shared" si="5"/>
        <v>11</v>
      </c>
      <c r="AQ39">
        <f t="shared" ca="1" si="6"/>
        <v>12</v>
      </c>
      <c r="AR39" s="1">
        <f t="shared" ca="1" si="7"/>
        <v>46222</v>
      </c>
      <c r="AS39" t="str">
        <f t="shared" ca="1" si="8"/>
        <v>Senior</v>
      </c>
    </row>
    <row r="40" spans="1:45">
      <c r="A40" t="s">
        <v>267</v>
      </c>
      <c r="B40">
        <v>10115</v>
      </c>
      <c r="C40">
        <v>0</v>
      </c>
      <c r="D40">
        <v>0</v>
      </c>
      <c r="E40">
        <v>1</v>
      </c>
      <c r="F40">
        <v>1</v>
      </c>
      <c r="G40">
        <v>5</v>
      </c>
      <c r="H40">
        <v>3</v>
      </c>
      <c r="I40">
        <v>0</v>
      </c>
      <c r="J40">
        <v>52846</v>
      </c>
      <c r="K40">
        <v>0</v>
      </c>
      <c r="L40">
        <v>19</v>
      </c>
      <c r="M40" t="s">
        <v>46</v>
      </c>
      <c r="N40" t="s">
        <v>47</v>
      </c>
      <c r="O40">
        <v>1701</v>
      </c>
      <c r="P40" t="s">
        <v>268</v>
      </c>
      <c r="Q40" t="s">
        <v>49</v>
      </c>
      <c r="R40" t="s">
        <v>50</v>
      </c>
      <c r="S40" t="s">
        <v>51</v>
      </c>
      <c r="T40" t="s">
        <v>52</v>
      </c>
      <c r="U40" t="s">
        <v>118</v>
      </c>
      <c r="V40" t="s">
        <v>269</v>
      </c>
      <c r="W40" s="1">
        <f t="shared" si="0"/>
        <v>41729</v>
      </c>
      <c r="Y40" t="s">
        <v>55</v>
      </c>
      <c r="Z40" t="s">
        <v>56</v>
      </c>
      <c r="AA40" t="s">
        <v>57</v>
      </c>
      <c r="AB40" t="s">
        <v>151</v>
      </c>
      <c r="AC40">
        <v>18</v>
      </c>
      <c r="AD40" t="s">
        <v>59</v>
      </c>
      <c r="AE40" t="s">
        <v>73</v>
      </c>
      <c r="AF40">
        <v>4.43</v>
      </c>
      <c r="AG40">
        <v>3</v>
      </c>
      <c r="AH40">
        <v>0</v>
      </c>
      <c r="AI40" t="s">
        <v>235</v>
      </c>
      <c r="AJ40">
        <v>0</v>
      </c>
      <c r="AK40">
        <v>14</v>
      </c>
      <c r="AL40" t="str">
        <f t="shared" si="1"/>
        <v xml:space="preserve">Carey, Michael  </v>
      </c>
      <c r="AM40" t="str">
        <f t="shared" si="2"/>
        <v>Car</v>
      </c>
      <c r="AN40" t="str">
        <f t="shared" si="3"/>
        <v xml:space="preserve">l  </v>
      </c>
      <c r="AO40">
        <f t="shared" si="4"/>
        <v>2014</v>
      </c>
      <c r="AP40">
        <f t="shared" si="5"/>
        <v>3</v>
      </c>
      <c r="AQ40">
        <f t="shared" ca="1" si="6"/>
        <v>12</v>
      </c>
      <c r="AR40" s="1">
        <f t="shared" ca="1" si="7"/>
        <v>46222</v>
      </c>
      <c r="AS40" t="str">
        <f t="shared" ca="1" si="8"/>
        <v>Senior</v>
      </c>
    </row>
    <row r="41" spans="1:45">
      <c r="A41" t="s">
        <v>270</v>
      </c>
      <c r="B41">
        <v>10082</v>
      </c>
      <c r="C41">
        <v>0</v>
      </c>
      <c r="D41">
        <v>0</v>
      </c>
      <c r="E41">
        <v>0</v>
      </c>
      <c r="F41">
        <v>2</v>
      </c>
      <c r="G41">
        <v>3</v>
      </c>
      <c r="H41">
        <v>3</v>
      </c>
      <c r="I41">
        <v>0</v>
      </c>
      <c r="J41">
        <v>100031</v>
      </c>
      <c r="K41">
        <v>0</v>
      </c>
      <c r="L41">
        <v>27</v>
      </c>
      <c r="M41" t="s">
        <v>63</v>
      </c>
      <c r="N41" t="s">
        <v>47</v>
      </c>
      <c r="O41">
        <v>1886</v>
      </c>
      <c r="P41" t="s">
        <v>271</v>
      </c>
      <c r="Q41" t="s">
        <v>78</v>
      </c>
      <c r="R41" t="s">
        <v>50</v>
      </c>
      <c r="S41" t="s">
        <v>51</v>
      </c>
      <c r="T41" t="s">
        <v>52</v>
      </c>
      <c r="U41" t="s">
        <v>118</v>
      </c>
      <c r="V41" t="s">
        <v>272</v>
      </c>
      <c r="W41" s="1">
        <f t="shared" si="0"/>
        <v>42551</v>
      </c>
      <c r="Y41" t="s">
        <v>55</v>
      </c>
      <c r="Z41" t="s">
        <v>56</v>
      </c>
      <c r="AA41" t="s">
        <v>70</v>
      </c>
      <c r="AB41" t="s">
        <v>71</v>
      </c>
      <c r="AC41">
        <v>4</v>
      </c>
      <c r="AD41" t="s">
        <v>59</v>
      </c>
      <c r="AE41" t="s">
        <v>73</v>
      </c>
      <c r="AF41">
        <v>5</v>
      </c>
      <c r="AG41">
        <v>5</v>
      </c>
      <c r="AH41">
        <v>6</v>
      </c>
      <c r="AI41" t="s">
        <v>128</v>
      </c>
      <c r="AJ41">
        <v>0</v>
      </c>
      <c r="AK41">
        <v>7</v>
      </c>
      <c r="AL41" t="str">
        <f t="shared" si="1"/>
        <v>Carr, Claudia  N</v>
      </c>
      <c r="AM41" t="str">
        <f t="shared" si="2"/>
        <v>Car</v>
      </c>
      <c r="AN41" t="str">
        <f t="shared" si="3"/>
        <v xml:space="preserve">  N</v>
      </c>
      <c r="AO41">
        <f t="shared" si="4"/>
        <v>2016</v>
      </c>
      <c r="AP41">
        <f t="shared" si="5"/>
        <v>6</v>
      </c>
      <c r="AQ41">
        <f t="shared" ca="1" si="6"/>
        <v>10</v>
      </c>
      <c r="AR41" s="1">
        <f t="shared" ca="1" si="7"/>
        <v>46222</v>
      </c>
      <c r="AS41" t="str">
        <f t="shared" ca="1" si="8"/>
        <v>Senior</v>
      </c>
    </row>
    <row r="42" spans="1:45">
      <c r="A42" t="s">
        <v>273</v>
      </c>
      <c r="B42">
        <v>10040</v>
      </c>
      <c r="C42">
        <v>0</v>
      </c>
      <c r="D42">
        <v>0</v>
      </c>
      <c r="E42">
        <v>0</v>
      </c>
      <c r="F42">
        <v>1</v>
      </c>
      <c r="G42">
        <v>6</v>
      </c>
      <c r="H42">
        <v>3</v>
      </c>
      <c r="I42">
        <v>0</v>
      </c>
      <c r="J42">
        <v>71860</v>
      </c>
      <c r="K42">
        <v>0</v>
      </c>
      <c r="L42">
        <v>3</v>
      </c>
      <c r="M42" t="s">
        <v>242</v>
      </c>
      <c r="N42" t="s">
        <v>274</v>
      </c>
      <c r="O42">
        <v>5664</v>
      </c>
      <c r="P42" t="s">
        <v>275</v>
      </c>
      <c r="Q42" t="s">
        <v>78</v>
      </c>
      <c r="R42" t="s">
        <v>50</v>
      </c>
      <c r="S42" t="s">
        <v>51</v>
      </c>
      <c r="T42" t="s">
        <v>52</v>
      </c>
      <c r="U42" t="s">
        <v>53</v>
      </c>
      <c r="V42" t="s">
        <v>276</v>
      </c>
      <c r="W42" s="1">
        <f t="shared" si="0"/>
        <v>41869</v>
      </c>
      <c r="Y42" t="s">
        <v>55</v>
      </c>
      <c r="Z42" t="s">
        <v>56</v>
      </c>
      <c r="AA42" t="s">
        <v>247</v>
      </c>
      <c r="AB42" t="s">
        <v>248</v>
      </c>
      <c r="AC42">
        <v>17</v>
      </c>
      <c r="AD42" t="s">
        <v>72</v>
      </c>
      <c r="AE42" t="s">
        <v>73</v>
      </c>
      <c r="AF42">
        <v>5</v>
      </c>
      <c r="AG42">
        <v>5</v>
      </c>
      <c r="AH42">
        <v>0</v>
      </c>
      <c r="AI42" t="s">
        <v>240</v>
      </c>
      <c r="AJ42">
        <v>0</v>
      </c>
      <c r="AK42">
        <v>7</v>
      </c>
      <c r="AL42" t="str">
        <f t="shared" si="1"/>
        <v xml:space="preserve">Carter, Michelle </v>
      </c>
      <c r="AM42" t="str">
        <f t="shared" si="2"/>
        <v>Car</v>
      </c>
      <c r="AN42" t="str">
        <f t="shared" si="3"/>
        <v xml:space="preserve">le </v>
      </c>
      <c r="AO42">
        <f t="shared" si="4"/>
        <v>2014</v>
      </c>
      <c r="AP42">
        <f t="shared" si="5"/>
        <v>8</v>
      </c>
      <c r="AQ42">
        <f t="shared" ca="1" si="6"/>
        <v>11</v>
      </c>
      <c r="AR42" s="1">
        <f t="shared" ca="1" si="7"/>
        <v>46222</v>
      </c>
      <c r="AS42" t="str">
        <f t="shared" ca="1" si="8"/>
        <v>Senior</v>
      </c>
    </row>
    <row r="43" spans="1:45">
      <c r="A43" t="s">
        <v>277</v>
      </c>
      <c r="B43">
        <v>10067</v>
      </c>
      <c r="C43">
        <v>0</v>
      </c>
      <c r="D43">
        <v>0</v>
      </c>
      <c r="E43">
        <v>0</v>
      </c>
      <c r="F43">
        <v>1</v>
      </c>
      <c r="G43">
        <v>5</v>
      </c>
      <c r="H43">
        <v>3</v>
      </c>
      <c r="I43">
        <v>0</v>
      </c>
      <c r="J43">
        <v>61656</v>
      </c>
      <c r="K43">
        <v>0</v>
      </c>
      <c r="L43">
        <v>19</v>
      </c>
      <c r="M43" t="s">
        <v>46</v>
      </c>
      <c r="N43" t="s">
        <v>47</v>
      </c>
      <c r="O43">
        <v>2763</v>
      </c>
      <c r="P43" t="s">
        <v>278</v>
      </c>
      <c r="Q43" t="s">
        <v>78</v>
      </c>
      <c r="R43" t="s">
        <v>50</v>
      </c>
      <c r="S43" t="s">
        <v>51</v>
      </c>
      <c r="T43" t="s">
        <v>52</v>
      </c>
      <c r="U43" t="s">
        <v>53</v>
      </c>
      <c r="V43" t="s">
        <v>234</v>
      </c>
      <c r="W43" s="1">
        <f t="shared" si="0"/>
        <v>41911</v>
      </c>
      <c r="Y43" t="s">
        <v>55</v>
      </c>
      <c r="Z43" t="s">
        <v>56</v>
      </c>
      <c r="AA43" t="s">
        <v>57</v>
      </c>
      <c r="AB43" t="s">
        <v>58</v>
      </c>
      <c r="AC43">
        <v>22</v>
      </c>
      <c r="AD43" t="s">
        <v>95</v>
      </c>
      <c r="AE43" t="s">
        <v>73</v>
      </c>
      <c r="AF43">
        <v>5</v>
      </c>
      <c r="AG43">
        <v>4</v>
      </c>
      <c r="AH43">
        <v>0</v>
      </c>
      <c r="AI43" t="s">
        <v>279</v>
      </c>
      <c r="AJ43">
        <v>0</v>
      </c>
      <c r="AK43">
        <v>11</v>
      </c>
      <c r="AL43" t="str">
        <f t="shared" si="1"/>
        <v xml:space="preserve">Chace, Beatrice </v>
      </c>
      <c r="AM43" t="str">
        <f t="shared" si="2"/>
        <v>Cha</v>
      </c>
      <c r="AN43" t="str">
        <f t="shared" si="3"/>
        <v xml:space="preserve">ce </v>
      </c>
      <c r="AO43">
        <f t="shared" si="4"/>
        <v>2014</v>
      </c>
      <c r="AP43">
        <f t="shared" si="5"/>
        <v>9</v>
      </c>
      <c r="AQ43">
        <f t="shared" ca="1" si="6"/>
        <v>11</v>
      </c>
      <c r="AR43" s="1">
        <f t="shared" ca="1" si="7"/>
        <v>46222</v>
      </c>
      <c r="AS43" t="str">
        <f t="shared" ca="1" si="8"/>
        <v>Senior</v>
      </c>
    </row>
    <row r="44" spans="1:45">
      <c r="A44" t="s">
        <v>280</v>
      </c>
      <c r="B44">
        <v>10108</v>
      </c>
      <c r="C44">
        <v>1</v>
      </c>
      <c r="D44">
        <v>1</v>
      </c>
      <c r="E44">
        <v>1</v>
      </c>
      <c r="F44">
        <v>1</v>
      </c>
      <c r="G44">
        <v>3</v>
      </c>
      <c r="H44">
        <v>3</v>
      </c>
      <c r="I44">
        <v>0</v>
      </c>
      <c r="J44">
        <v>110929</v>
      </c>
      <c r="K44">
        <v>0</v>
      </c>
      <c r="L44">
        <v>5</v>
      </c>
      <c r="M44" t="s">
        <v>281</v>
      </c>
      <c r="N44" t="s">
        <v>47</v>
      </c>
      <c r="O44">
        <v>2045</v>
      </c>
      <c r="P44" t="s">
        <v>282</v>
      </c>
      <c r="Q44" t="s">
        <v>49</v>
      </c>
      <c r="R44" t="s">
        <v>65</v>
      </c>
      <c r="S44" t="s">
        <v>51</v>
      </c>
      <c r="T44" t="s">
        <v>52</v>
      </c>
      <c r="U44" t="s">
        <v>53</v>
      </c>
      <c r="V44" t="s">
        <v>92</v>
      </c>
      <c r="W44" s="1">
        <f t="shared" si="0"/>
        <v>42619</v>
      </c>
      <c r="Y44" t="s">
        <v>55</v>
      </c>
      <c r="Z44" t="s">
        <v>56</v>
      </c>
      <c r="AA44" t="s">
        <v>70</v>
      </c>
      <c r="AB44" t="s">
        <v>259</v>
      </c>
      <c r="AC44">
        <v>5</v>
      </c>
      <c r="AD44" t="s">
        <v>72</v>
      </c>
      <c r="AE44" t="s">
        <v>73</v>
      </c>
      <c r="AF44">
        <v>4.5</v>
      </c>
      <c r="AG44">
        <v>5</v>
      </c>
      <c r="AH44">
        <v>7</v>
      </c>
      <c r="AI44" t="s">
        <v>231</v>
      </c>
      <c r="AJ44">
        <v>0</v>
      </c>
      <c r="AK44">
        <v>8</v>
      </c>
      <c r="AL44" t="str">
        <f t="shared" si="1"/>
        <v>Champaigne, Brian</v>
      </c>
      <c r="AM44" t="str">
        <f t="shared" si="2"/>
        <v>Cha</v>
      </c>
      <c r="AN44" t="str">
        <f t="shared" si="3"/>
        <v>ian</v>
      </c>
      <c r="AO44">
        <f t="shared" si="4"/>
        <v>2016</v>
      </c>
      <c r="AP44">
        <f t="shared" si="5"/>
        <v>9</v>
      </c>
      <c r="AQ44">
        <f t="shared" ca="1" si="6"/>
        <v>9</v>
      </c>
      <c r="AR44" s="1">
        <f t="shared" ca="1" si="7"/>
        <v>46222</v>
      </c>
      <c r="AS44" t="str">
        <f t="shared" ca="1" si="8"/>
        <v>Senior</v>
      </c>
    </row>
    <row r="45" spans="1:45">
      <c r="A45" t="s">
        <v>283</v>
      </c>
      <c r="B45">
        <v>10210</v>
      </c>
      <c r="C45">
        <v>0</v>
      </c>
      <c r="D45">
        <v>0</v>
      </c>
      <c r="E45">
        <v>0</v>
      </c>
      <c r="F45">
        <v>1</v>
      </c>
      <c r="G45">
        <v>5</v>
      </c>
      <c r="H45">
        <v>3</v>
      </c>
      <c r="I45">
        <v>0</v>
      </c>
      <c r="J45">
        <v>54237</v>
      </c>
      <c r="K45">
        <v>0</v>
      </c>
      <c r="L45">
        <v>19</v>
      </c>
      <c r="M45" t="s">
        <v>46</v>
      </c>
      <c r="N45" t="s">
        <v>47</v>
      </c>
      <c r="O45">
        <v>2170</v>
      </c>
      <c r="P45" t="s">
        <v>284</v>
      </c>
      <c r="Q45" t="s">
        <v>78</v>
      </c>
      <c r="R45" t="s">
        <v>50</v>
      </c>
      <c r="S45" t="s">
        <v>51</v>
      </c>
      <c r="T45" t="s">
        <v>52</v>
      </c>
      <c r="U45" t="s">
        <v>53</v>
      </c>
      <c r="V45" t="s">
        <v>285</v>
      </c>
      <c r="W45" s="1">
        <f t="shared" si="0"/>
        <v>41771</v>
      </c>
      <c r="Y45" t="s">
        <v>55</v>
      </c>
      <c r="Z45" t="s">
        <v>56</v>
      </c>
      <c r="AA45" t="s">
        <v>57</v>
      </c>
      <c r="AB45" t="s">
        <v>86</v>
      </c>
      <c r="AC45">
        <v>16</v>
      </c>
      <c r="AD45" t="s">
        <v>72</v>
      </c>
      <c r="AE45" t="s">
        <v>73</v>
      </c>
      <c r="AF45">
        <v>3.3</v>
      </c>
      <c r="AG45">
        <v>4</v>
      </c>
      <c r="AH45">
        <v>0</v>
      </c>
      <c r="AI45" t="s">
        <v>286</v>
      </c>
      <c r="AJ45">
        <v>0</v>
      </c>
      <c r="AK45">
        <v>11</v>
      </c>
      <c r="AL45" t="str">
        <f t="shared" si="1"/>
        <v>Chan, Lin</v>
      </c>
      <c r="AM45" t="str">
        <f t="shared" si="2"/>
        <v>Cha</v>
      </c>
      <c r="AN45" t="str">
        <f t="shared" si="3"/>
        <v>Lin</v>
      </c>
      <c r="AO45">
        <f t="shared" si="4"/>
        <v>2014</v>
      </c>
      <c r="AP45">
        <f t="shared" si="5"/>
        <v>5</v>
      </c>
      <c r="AQ45">
        <f t="shared" ca="1" si="6"/>
        <v>12</v>
      </c>
      <c r="AR45" s="1">
        <f t="shared" ca="1" si="7"/>
        <v>46222</v>
      </c>
      <c r="AS45" t="str">
        <f t="shared" ca="1" si="8"/>
        <v>Senior</v>
      </c>
    </row>
    <row r="46" spans="1:45">
      <c r="A46" t="s">
        <v>287</v>
      </c>
      <c r="B46">
        <v>10154</v>
      </c>
      <c r="C46">
        <v>0</v>
      </c>
      <c r="D46">
        <v>0</v>
      </c>
      <c r="E46">
        <v>1</v>
      </c>
      <c r="F46">
        <v>1</v>
      </c>
      <c r="G46">
        <v>5</v>
      </c>
      <c r="H46">
        <v>3</v>
      </c>
      <c r="I46">
        <v>0</v>
      </c>
      <c r="J46">
        <v>60380</v>
      </c>
      <c r="K46">
        <v>0</v>
      </c>
      <c r="L46">
        <v>19</v>
      </c>
      <c r="M46" t="s">
        <v>46</v>
      </c>
      <c r="N46" t="s">
        <v>47</v>
      </c>
      <c r="O46">
        <v>1845</v>
      </c>
      <c r="P46" t="s">
        <v>288</v>
      </c>
      <c r="Q46" t="s">
        <v>49</v>
      </c>
      <c r="R46" t="s">
        <v>50</v>
      </c>
      <c r="S46" t="s">
        <v>51</v>
      </c>
      <c r="T46" t="s">
        <v>52</v>
      </c>
      <c r="U46" t="s">
        <v>53</v>
      </c>
      <c r="V46" t="s">
        <v>183</v>
      </c>
      <c r="W46" s="1">
        <f t="shared" si="0"/>
        <v>41463</v>
      </c>
      <c r="Y46" t="s">
        <v>55</v>
      </c>
      <c r="Z46" t="s">
        <v>56</v>
      </c>
      <c r="AA46" t="s">
        <v>57</v>
      </c>
      <c r="AB46" t="s">
        <v>94</v>
      </c>
      <c r="AD46" t="s">
        <v>59</v>
      </c>
      <c r="AE46" t="s">
        <v>73</v>
      </c>
      <c r="AF46">
        <v>3.8</v>
      </c>
      <c r="AG46">
        <v>5</v>
      </c>
      <c r="AH46">
        <v>0</v>
      </c>
      <c r="AI46" t="s">
        <v>168</v>
      </c>
      <c r="AJ46">
        <v>0</v>
      </c>
      <c r="AK46">
        <v>4</v>
      </c>
      <c r="AL46" t="str">
        <f t="shared" si="1"/>
        <v>Chang, Donovan  E</v>
      </c>
      <c r="AM46" t="str">
        <f t="shared" si="2"/>
        <v>Cha</v>
      </c>
      <c r="AN46" t="str">
        <f t="shared" si="3"/>
        <v xml:space="preserve">  E</v>
      </c>
      <c r="AO46">
        <f t="shared" si="4"/>
        <v>2013</v>
      </c>
      <c r="AP46">
        <f t="shared" si="5"/>
        <v>7</v>
      </c>
      <c r="AQ46">
        <f t="shared" ca="1" si="6"/>
        <v>13</v>
      </c>
      <c r="AR46" s="1">
        <f t="shared" ca="1" si="7"/>
        <v>46222</v>
      </c>
      <c r="AS46" t="str">
        <f t="shared" ca="1" si="8"/>
        <v>Senior</v>
      </c>
    </row>
    <row r="47" spans="1:45">
      <c r="A47" t="s">
        <v>289</v>
      </c>
      <c r="B47">
        <v>10200</v>
      </c>
      <c r="C47">
        <v>0</v>
      </c>
      <c r="D47">
        <v>0</v>
      </c>
      <c r="E47">
        <v>1</v>
      </c>
      <c r="F47">
        <v>1</v>
      </c>
      <c r="G47">
        <v>6</v>
      </c>
      <c r="H47">
        <v>3</v>
      </c>
      <c r="I47">
        <v>0</v>
      </c>
      <c r="J47">
        <v>66808</v>
      </c>
      <c r="K47">
        <v>0</v>
      </c>
      <c r="L47">
        <v>3</v>
      </c>
      <c r="M47" t="s">
        <v>242</v>
      </c>
      <c r="N47" t="s">
        <v>145</v>
      </c>
      <c r="O47">
        <v>78207</v>
      </c>
      <c r="P47" t="s">
        <v>290</v>
      </c>
      <c r="Q47" t="s">
        <v>49</v>
      </c>
      <c r="R47" t="s">
        <v>50</v>
      </c>
      <c r="S47" t="s">
        <v>171</v>
      </c>
      <c r="T47" t="s">
        <v>52</v>
      </c>
      <c r="U47" t="s">
        <v>118</v>
      </c>
      <c r="V47" t="s">
        <v>291</v>
      </c>
      <c r="W47" s="1">
        <f t="shared" si="0"/>
        <v>41043</v>
      </c>
      <c r="Y47" t="s">
        <v>55</v>
      </c>
      <c r="Z47" t="s">
        <v>56</v>
      </c>
      <c r="AA47" t="s">
        <v>247</v>
      </c>
      <c r="AB47" t="s">
        <v>292</v>
      </c>
      <c r="AC47">
        <v>21</v>
      </c>
      <c r="AD47" t="s">
        <v>114</v>
      </c>
      <c r="AE47" t="s">
        <v>73</v>
      </c>
      <c r="AF47">
        <v>3</v>
      </c>
      <c r="AG47">
        <v>5</v>
      </c>
      <c r="AH47">
        <v>0</v>
      </c>
      <c r="AI47" t="s">
        <v>293</v>
      </c>
      <c r="AJ47">
        <v>0</v>
      </c>
      <c r="AK47">
        <v>17</v>
      </c>
      <c r="AL47" t="str">
        <f t="shared" si="1"/>
        <v>Chigurh, Anton</v>
      </c>
      <c r="AM47" t="str">
        <f t="shared" si="2"/>
        <v>Chi</v>
      </c>
      <c r="AN47" t="str">
        <f t="shared" si="3"/>
        <v>ton</v>
      </c>
      <c r="AO47">
        <f t="shared" si="4"/>
        <v>2012</v>
      </c>
      <c r="AP47">
        <f t="shared" si="5"/>
        <v>5</v>
      </c>
      <c r="AQ47">
        <f t="shared" ca="1" si="6"/>
        <v>14</v>
      </c>
      <c r="AR47" s="1">
        <f t="shared" ca="1" si="7"/>
        <v>46222</v>
      </c>
      <c r="AS47" t="str">
        <f t="shared" ca="1" si="8"/>
        <v>Senior</v>
      </c>
    </row>
    <row r="48" spans="1:45">
      <c r="A48" t="s">
        <v>294</v>
      </c>
      <c r="B48">
        <v>10240</v>
      </c>
      <c r="C48">
        <v>0</v>
      </c>
      <c r="D48">
        <v>0</v>
      </c>
      <c r="E48">
        <v>0</v>
      </c>
      <c r="F48">
        <v>5</v>
      </c>
      <c r="G48">
        <v>5</v>
      </c>
      <c r="H48">
        <v>3</v>
      </c>
      <c r="I48">
        <v>0</v>
      </c>
      <c r="J48">
        <v>64786</v>
      </c>
      <c r="K48">
        <v>1</v>
      </c>
      <c r="L48">
        <v>19</v>
      </c>
      <c r="M48" t="s">
        <v>46</v>
      </c>
      <c r="N48" t="s">
        <v>47</v>
      </c>
      <c r="O48">
        <v>1775</v>
      </c>
      <c r="P48" t="s">
        <v>295</v>
      </c>
      <c r="Q48" t="s">
        <v>78</v>
      </c>
      <c r="R48" t="s">
        <v>50</v>
      </c>
      <c r="S48" t="s">
        <v>51</v>
      </c>
      <c r="T48" t="s">
        <v>52</v>
      </c>
      <c r="U48" t="s">
        <v>53</v>
      </c>
      <c r="V48" t="s">
        <v>296</v>
      </c>
      <c r="W48" s="1">
        <f t="shared" si="0"/>
        <v>40721</v>
      </c>
      <c r="X48" t="s">
        <v>297</v>
      </c>
      <c r="Y48" t="s">
        <v>298</v>
      </c>
      <c r="Z48" t="s">
        <v>69</v>
      </c>
      <c r="AA48" t="s">
        <v>57</v>
      </c>
      <c r="AB48" t="s">
        <v>100</v>
      </c>
      <c r="AC48">
        <v>11</v>
      </c>
      <c r="AD48" t="s">
        <v>72</v>
      </c>
      <c r="AE48" t="s">
        <v>73</v>
      </c>
      <c r="AF48">
        <v>4.3</v>
      </c>
      <c r="AG48">
        <v>4</v>
      </c>
      <c r="AH48">
        <v>0</v>
      </c>
      <c r="AI48" t="s">
        <v>299</v>
      </c>
      <c r="AJ48">
        <v>0</v>
      </c>
      <c r="AK48">
        <v>3</v>
      </c>
      <c r="AL48" t="str">
        <f t="shared" si="1"/>
        <v>Chivukula, Enola</v>
      </c>
      <c r="AM48" t="str">
        <f t="shared" si="2"/>
        <v>Chi</v>
      </c>
      <c r="AN48" t="str">
        <f t="shared" si="3"/>
        <v>ola</v>
      </c>
      <c r="AO48">
        <f t="shared" si="4"/>
        <v>2011</v>
      </c>
      <c r="AP48">
        <f t="shared" si="5"/>
        <v>6</v>
      </c>
      <c r="AQ48">
        <f t="shared" ca="1" si="6"/>
        <v>15</v>
      </c>
      <c r="AR48" s="1">
        <f t="shared" ca="1" si="7"/>
        <v>46222</v>
      </c>
      <c r="AS48" t="str">
        <f t="shared" ca="1" si="8"/>
        <v>Senior</v>
      </c>
    </row>
    <row r="49" spans="1:45">
      <c r="A49" t="s">
        <v>300</v>
      </c>
      <c r="B49">
        <v>10168</v>
      </c>
      <c r="C49">
        <v>0</v>
      </c>
      <c r="D49">
        <v>0</v>
      </c>
      <c r="E49">
        <v>0</v>
      </c>
      <c r="F49">
        <v>1</v>
      </c>
      <c r="G49">
        <v>5</v>
      </c>
      <c r="H49">
        <v>3</v>
      </c>
      <c r="I49">
        <v>0</v>
      </c>
      <c r="J49">
        <v>64816</v>
      </c>
      <c r="K49">
        <v>0</v>
      </c>
      <c r="L49">
        <v>19</v>
      </c>
      <c r="M49" t="s">
        <v>46</v>
      </c>
      <c r="N49" t="s">
        <v>47</v>
      </c>
      <c r="O49">
        <v>2044</v>
      </c>
      <c r="P49" t="s">
        <v>301</v>
      </c>
      <c r="Q49" t="s">
        <v>78</v>
      </c>
      <c r="R49" t="s">
        <v>50</v>
      </c>
      <c r="S49" t="s">
        <v>302</v>
      </c>
      <c r="T49" t="s">
        <v>52</v>
      </c>
      <c r="U49" t="s">
        <v>118</v>
      </c>
      <c r="V49" t="s">
        <v>303</v>
      </c>
      <c r="W49" s="1">
        <f t="shared" si="0"/>
        <v>40819</v>
      </c>
      <c r="Y49" t="s">
        <v>55</v>
      </c>
      <c r="Z49" t="s">
        <v>56</v>
      </c>
      <c r="AA49" t="s">
        <v>57</v>
      </c>
      <c r="AB49" t="s">
        <v>113</v>
      </c>
      <c r="AC49">
        <v>19</v>
      </c>
      <c r="AD49" t="s">
        <v>72</v>
      </c>
      <c r="AE49" t="s">
        <v>73</v>
      </c>
      <c r="AF49">
        <v>3.58</v>
      </c>
      <c r="AG49">
        <v>5</v>
      </c>
      <c r="AH49">
        <v>0</v>
      </c>
      <c r="AI49" t="s">
        <v>266</v>
      </c>
      <c r="AJ49">
        <v>0</v>
      </c>
      <c r="AK49">
        <v>3</v>
      </c>
      <c r="AL49" t="str">
        <f t="shared" si="1"/>
        <v xml:space="preserve">Cierpiszewski, Caroline  </v>
      </c>
      <c r="AM49" t="str">
        <f t="shared" si="2"/>
        <v>Cie</v>
      </c>
      <c r="AN49" t="str">
        <f t="shared" si="3"/>
        <v xml:space="preserve">e  </v>
      </c>
      <c r="AO49">
        <f t="shared" si="4"/>
        <v>2011</v>
      </c>
      <c r="AP49">
        <f t="shared" si="5"/>
        <v>10</v>
      </c>
      <c r="AQ49">
        <f t="shared" ca="1" si="6"/>
        <v>14</v>
      </c>
      <c r="AR49" s="1">
        <f t="shared" ca="1" si="7"/>
        <v>46222</v>
      </c>
      <c r="AS49" t="str">
        <f t="shared" ca="1" si="8"/>
        <v>Senior</v>
      </c>
    </row>
    <row r="50" spans="1:45">
      <c r="A50" t="s">
        <v>304</v>
      </c>
      <c r="B50">
        <v>10220</v>
      </c>
      <c r="C50">
        <v>0</v>
      </c>
      <c r="D50">
        <v>0</v>
      </c>
      <c r="E50">
        <v>1</v>
      </c>
      <c r="F50">
        <v>1</v>
      </c>
      <c r="G50">
        <v>3</v>
      </c>
      <c r="H50">
        <v>3</v>
      </c>
      <c r="I50">
        <v>0</v>
      </c>
      <c r="J50">
        <v>68678</v>
      </c>
      <c r="K50">
        <v>0</v>
      </c>
      <c r="L50">
        <v>14</v>
      </c>
      <c r="M50" t="s">
        <v>124</v>
      </c>
      <c r="N50" t="s">
        <v>47</v>
      </c>
      <c r="O50">
        <v>2170</v>
      </c>
      <c r="P50" t="s">
        <v>305</v>
      </c>
      <c r="Q50" t="s">
        <v>49</v>
      </c>
      <c r="R50" t="s">
        <v>50</v>
      </c>
      <c r="S50" t="s">
        <v>51</v>
      </c>
      <c r="T50" t="s">
        <v>52</v>
      </c>
      <c r="U50" t="s">
        <v>53</v>
      </c>
      <c r="V50" t="s">
        <v>306</v>
      </c>
      <c r="W50" s="1">
        <f t="shared" si="0"/>
        <v>41157</v>
      </c>
      <c r="Y50" t="s">
        <v>55</v>
      </c>
      <c r="Z50" t="s">
        <v>56</v>
      </c>
      <c r="AA50" t="s">
        <v>70</v>
      </c>
      <c r="AB50" t="s">
        <v>307</v>
      </c>
      <c r="AC50">
        <v>6</v>
      </c>
      <c r="AD50" t="s">
        <v>72</v>
      </c>
      <c r="AE50" t="s">
        <v>73</v>
      </c>
      <c r="AF50">
        <v>4.7</v>
      </c>
      <c r="AG50">
        <v>3</v>
      </c>
      <c r="AH50">
        <v>6</v>
      </c>
      <c r="AI50" t="s">
        <v>193</v>
      </c>
      <c r="AJ50">
        <v>0</v>
      </c>
      <c r="AK50">
        <v>2</v>
      </c>
      <c r="AL50" t="str">
        <f t="shared" si="1"/>
        <v>Clayton, Rick</v>
      </c>
      <c r="AM50" t="str">
        <f t="shared" si="2"/>
        <v>Cla</v>
      </c>
      <c r="AN50" t="str">
        <f t="shared" si="3"/>
        <v>ick</v>
      </c>
      <c r="AO50">
        <f t="shared" si="4"/>
        <v>2012</v>
      </c>
      <c r="AP50">
        <f t="shared" si="5"/>
        <v>9</v>
      </c>
      <c r="AQ50">
        <f t="shared" ca="1" si="6"/>
        <v>13</v>
      </c>
      <c r="AR50" s="1">
        <f t="shared" ca="1" si="7"/>
        <v>46222</v>
      </c>
      <c r="AS50" t="str">
        <f t="shared" ca="1" si="8"/>
        <v>Senior</v>
      </c>
    </row>
    <row r="51" spans="1:45">
      <c r="A51" t="s">
        <v>308</v>
      </c>
      <c r="B51">
        <v>10275</v>
      </c>
      <c r="C51">
        <v>1</v>
      </c>
      <c r="D51">
        <v>1</v>
      </c>
      <c r="E51">
        <v>0</v>
      </c>
      <c r="F51">
        <v>5</v>
      </c>
      <c r="G51">
        <v>5</v>
      </c>
      <c r="H51">
        <v>3</v>
      </c>
      <c r="I51">
        <v>0</v>
      </c>
      <c r="J51">
        <v>64066</v>
      </c>
      <c r="K51">
        <v>1</v>
      </c>
      <c r="L51">
        <v>20</v>
      </c>
      <c r="M51" t="s">
        <v>76</v>
      </c>
      <c r="N51" t="s">
        <v>47</v>
      </c>
      <c r="O51">
        <v>1752</v>
      </c>
      <c r="P51" t="s">
        <v>309</v>
      </c>
      <c r="Q51" t="s">
        <v>78</v>
      </c>
      <c r="R51" t="s">
        <v>65</v>
      </c>
      <c r="S51" t="s">
        <v>51</v>
      </c>
      <c r="T51" t="s">
        <v>52</v>
      </c>
      <c r="U51" t="s">
        <v>53</v>
      </c>
      <c r="V51" t="s">
        <v>310</v>
      </c>
      <c r="W51" s="1">
        <f t="shared" si="0"/>
        <v>40679</v>
      </c>
      <c r="X51" t="s">
        <v>311</v>
      </c>
      <c r="Y51" t="s">
        <v>141</v>
      </c>
      <c r="Z51" t="s">
        <v>69</v>
      </c>
      <c r="AA51" t="s">
        <v>57</v>
      </c>
      <c r="AB51" t="s">
        <v>120</v>
      </c>
      <c r="AC51">
        <v>12</v>
      </c>
      <c r="AD51" t="s">
        <v>95</v>
      </c>
      <c r="AE51" t="s">
        <v>73</v>
      </c>
      <c r="AF51">
        <v>4.2</v>
      </c>
      <c r="AG51">
        <v>5</v>
      </c>
      <c r="AH51">
        <v>0</v>
      </c>
      <c r="AI51" t="s">
        <v>312</v>
      </c>
      <c r="AJ51">
        <v>0</v>
      </c>
      <c r="AK51">
        <v>9</v>
      </c>
    </row>
    <row r="52" spans="1:45">
      <c r="A52" t="s">
        <v>313</v>
      </c>
      <c r="B52">
        <v>10269</v>
      </c>
      <c r="C52">
        <v>1</v>
      </c>
      <c r="D52">
        <v>1</v>
      </c>
      <c r="E52">
        <v>1</v>
      </c>
      <c r="F52">
        <v>5</v>
      </c>
      <c r="G52">
        <v>5</v>
      </c>
      <c r="H52">
        <v>3</v>
      </c>
      <c r="I52">
        <v>0</v>
      </c>
      <c r="J52">
        <v>59369</v>
      </c>
      <c r="K52">
        <v>1</v>
      </c>
      <c r="L52">
        <v>20</v>
      </c>
      <c r="M52" t="s">
        <v>76</v>
      </c>
      <c r="N52" t="s">
        <v>47</v>
      </c>
      <c r="O52">
        <v>2169</v>
      </c>
      <c r="P52" t="s">
        <v>314</v>
      </c>
      <c r="Q52" t="s">
        <v>49</v>
      </c>
      <c r="R52" t="s">
        <v>65</v>
      </c>
      <c r="S52" t="s">
        <v>51</v>
      </c>
      <c r="T52" t="s">
        <v>52</v>
      </c>
      <c r="U52" t="s">
        <v>53</v>
      </c>
      <c r="V52" t="s">
        <v>315</v>
      </c>
      <c r="W52" s="1">
        <f t="shared" si="0"/>
        <v>40420</v>
      </c>
      <c r="X52" t="s">
        <v>316</v>
      </c>
      <c r="Y52" t="s">
        <v>68</v>
      </c>
      <c r="Z52" t="s">
        <v>69</v>
      </c>
      <c r="AA52" t="s">
        <v>57</v>
      </c>
      <c r="AB52" t="s">
        <v>135</v>
      </c>
      <c r="AC52">
        <v>14</v>
      </c>
      <c r="AD52" t="s">
        <v>72</v>
      </c>
      <c r="AE52" t="s">
        <v>73</v>
      </c>
      <c r="AF52">
        <v>4.2</v>
      </c>
      <c r="AG52">
        <v>4</v>
      </c>
      <c r="AH52">
        <v>0</v>
      </c>
      <c r="AI52" t="s">
        <v>317</v>
      </c>
      <c r="AJ52">
        <v>0</v>
      </c>
      <c r="AK52">
        <v>6</v>
      </c>
    </row>
    <row r="53" spans="1:45">
      <c r="A53" t="s">
        <v>318</v>
      </c>
      <c r="B53">
        <v>10029</v>
      </c>
      <c r="C53">
        <v>1</v>
      </c>
      <c r="D53">
        <v>1</v>
      </c>
      <c r="E53">
        <v>1</v>
      </c>
      <c r="F53">
        <v>2</v>
      </c>
      <c r="G53">
        <v>5</v>
      </c>
      <c r="H53">
        <v>4</v>
      </c>
      <c r="I53">
        <v>0</v>
      </c>
      <c r="J53">
        <v>50373</v>
      </c>
      <c r="K53">
        <v>0</v>
      </c>
      <c r="L53">
        <v>19</v>
      </c>
      <c r="M53" t="s">
        <v>46</v>
      </c>
      <c r="N53" t="s">
        <v>47</v>
      </c>
      <c r="O53">
        <v>2134</v>
      </c>
      <c r="P53" t="s">
        <v>319</v>
      </c>
      <c r="Q53" t="s">
        <v>49</v>
      </c>
      <c r="R53" t="s">
        <v>65</v>
      </c>
      <c r="S53" t="s">
        <v>51</v>
      </c>
      <c r="T53" t="s">
        <v>52</v>
      </c>
      <c r="U53" t="s">
        <v>53</v>
      </c>
      <c r="V53" t="s">
        <v>320</v>
      </c>
      <c r="W53" s="1">
        <f t="shared" si="0"/>
        <v>42557</v>
      </c>
      <c r="Y53" t="s">
        <v>55</v>
      </c>
      <c r="Z53" t="s">
        <v>56</v>
      </c>
      <c r="AA53" t="s">
        <v>57</v>
      </c>
      <c r="AB53" t="s">
        <v>120</v>
      </c>
      <c r="AC53">
        <v>12</v>
      </c>
      <c r="AD53" t="s">
        <v>114</v>
      </c>
      <c r="AE53" t="s">
        <v>60</v>
      </c>
      <c r="AF53">
        <v>4.0999999999999996</v>
      </c>
      <c r="AG53">
        <v>4</v>
      </c>
      <c r="AH53">
        <v>0</v>
      </c>
      <c r="AI53" t="s">
        <v>321</v>
      </c>
      <c r="AJ53">
        <v>0</v>
      </c>
      <c r="AK53">
        <v>5</v>
      </c>
    </row>
    <row r="54" spans="1:45">
      <c r="A54" t="s">
        <v>322</v>
      </c>
      <c r="B54">
        <v>10261</v>
      </c>
      <c r="C54">
        <v>0</v>
      </c>
      <c r="D54">
        <v>0</v>
      </c>
      <c r="E54">
        <v>1</v>
      </c>
      <c r="F54">
        <v>1</v>
      </c>
      <c r="G54">
        <v>5</v>
      </c>
      <c r="H54">
        <v>3</v>
      </c>
      <c r="I54">
        <v>0</v>
      </c>
      <c r="J54">
        <v>63108</v>
      </c>
      <c r="K54">
        <v>0</v>
      </c>
      <c r="L54">
        <v>19</v>
      </c>
      <c r="M54" t="s">
        <v>46</v>
      </c>
      <c r="N54" t="s">
        <v>47</v>
      </c>
      <c r="O54">
        <v>2452</v>
      </c>
      <c r="P54" t="s">
        <v>323</v>
      </c>
      <c r="Q54" t="s">
        <v>49</v>
      </c>
      <c r="R54" t="s">
        <v>50</v>
      </c>
      <c r="S54" t="s">
        <v>51</v>
      </c>
      <c r="T54" t="s">
        <v>52</v>
      </c>
      <c r="U54" t="s">
        <v>53</v>
      </c>
      <c r="V54" t="s">
        <v>183</v>
      </c>
      <c r="W54" s="1">
        <f t="shared" si="0"/>
        <v>41463</v>
      </c>
      <c r="Y54" t="s">
        <v>55</v>
      </c>
      <c r="Z54" t="s">
        <v>56</v>
      </c>
      <c r="AA54" t="s">
        <v>57</v>
      </c>
      <c r="AB54" t="s">
        <v>135</v>
      </c>
      <c r="AC54">
        <v>14</v>
      </c>
      <c r="AD54" t="s">
        <v>114</v>
      </c>
      <c r="AE54" t="s">
        <v>73</v>
      </c>
      <c r="AF54">
        <v>4.4000000000000004</v>
      </c>
      <c r="AG54">
        <v>5</v>
      </c>
      <c r="AH54">
        <v>0</v>
      </c>
      <c r="AI54" t="s">
        <v>168</v>
      </c>
      <c r="AJ54">
        <v>0</v>
      </c>
      <c r="AK54">
        <v>3</v>
      </c>
    </row>
    <row r="55" spans="1:45">
      <c r="A55" t="s">
        <v>324</v>
      </c>
      <c r="B55">
        <v>10292</v>
      </c>
      <c r="C55">
        <v>0</v>
      </c>
      <c r="D55">
        <v>0</v>
      </c>
      <c r="E55">
        <v>1</v>
      </c>
      <c r="F55">
        <v>4</v>
      </c>
      <c r="G55">
        <v>5</v>
      </c>
      <c r="H55">
        <v>2</v>
      </c>
      <c r="I55">
        <v>0</v>
      </c>
      <c r="J55">
        <v>59144</v>
      </c>
      <c r="K55">
        <v>1</v>
      </c>
      <c r="L55">
        <v>19</v>
      </c>
      <c r="M55" t="s">
        <v>46</v>
      </c>
      <c r="N55" t="s">
        <v>47</v>
      </c>
      <c r="O55">
        <v>1880</v>
      </c>
      <c r="P55" t="s">
        <v>325</v>
      </c>
      <c r="Q55" t="s">
        <v>49</v>
      </c>
      <c r="R55" t="s">
        <v>50</v>
      </c>
      <c r="S55" t="s">
        <v>51</v>
      </c>
      <c r="T55" t="s">
        <v>52</v>
      </c>
      <c r="U55" t="s">
        <v>118</v>
      </c>
      <c r="V55" t="s">
        <v>91</v>
      </c>
      <c r="W55" s="1">
        <f t="shared" si="0"/>
        <v>40735</v>
      </c>
      <c r="X55" t="s">
        <v>326</v>
      </c>
      <c r="Y55" t="s">
        <v>178</v>
      </c>
      <c r="Z55" t="s">
        <v>163</v>
      </c>
      <c r="AA55" t="s">
        <v>57</v>
      </c>
      <c r="AB55" t="s">
        <v>81</v>
      </c>
      <c r="AC55">
        <v>20</v>
      </c>
      <c r="AD55" t="s">
        <v>59</v>
      </c>
      <c r="AE55" t="s">
        <v>197</v>
      </c>
      <c r="AF55">
        <v>2</v>
      </c>
      <c r="AG55">
        <v>3</v>
      </c>
      <c r="AH55">
        <v>0</v>
      </c>
      <c r="AI55" t="s">
        <v>327</v>
      </c>
      <c r="AJ55">
        <v>5</v>
      </c>
      <c r="AK55">
        <v>16</v>
      </c>
    </row>
    <row r="56" spans="1:45">
      <c r="A56" t="s">
        <v>328</v>
      </c>
      <c r="B56">
        <v>10282</v>
      </c>
      <c r="C56">
        <v>0</v>
      </c>
      <c r="D56">
        <v>2</v>
      </c>
      <c r="E56">
        <v>1</v>
      </c>
      <c r="F56">
        <v>1</v>
      </c>
      <c r="G56">
        <v>5</v>
      </c>
      <c r="H56">
        <v>2</v>
      </c>
      <c r="I56">
        <v>0</v>
      </c>
      <c r="J56">
        <v>68051</v>
      </c>
      <c r="K56">
        <v>0</v>
      </c>
      <c r="L56">
        <v>18</v>
      </c>
      <c r="M56" t="s">
        <v>217</v>
      </c>
      <c r="N56" t="s">
        <v>47</v>
      </c>
      <c r="O56">
        <v>1803</v>
      </c>
      <c r="P56" t="s">
        <v>329</v>
      </c>
      <c r="Q56" t="s">
        <v>49</v>
      </c>
      <c r="R56" t="s">
        <v>90</v>
      </c>
      <c r="S56" t="s">
        <v>51</v>
      </c>
      <c r="T56" t="s">
        <v>52</v>
      </c>
      <c r="U56" t="s">
        <v>53</v>
      </c>
      <c r="V56" t="s">
        <v>330</v>
      </c>
      <c r="W56" s="1">
        <f t="shared" si="0"/>
        <v>40379</v>
      </c>
      <c r="Y56" t="s">
        <v>55</v>
      </c>
      <c r="Z56" t="s">
        <v>56</v>
      </c>
      <c r="AA56" t="s">
        <v>57</v>
      </c>
      <c r="AB56" t="s">
        <v>221</v>
      </c>
      <c r="AC56">
        <v>2</v>
      </c>
      <c r="AD56" t="s">
        <v>196</v>
      </c>
      <c r="AE56" t="s">
        <v>197</v>
      </c>
      <c r="AF56">
        <v>4.13</v>
      </c>
      <c r="AG56">
        <v>2</v>
      </c>
      <c r="AH56">
        <v>0</v>
      </c>
      <c r="AI56" t="s">
        <v>168</v>
      </c>
      <c r="AJ56">
        <v>3</v>
      </c>
      <c r="AK56">
        <v>3</v>
      </c>
    </row>
    <row r="57" spans="1:45">
      <c r="A57" t="s">
        <v>331</v>
      </c>
      <c r="B57">
        <v>10019</v>
      </c>
      <c r="C57">
        <v>0</v>
      </c>
      <c r="D57">
        <v>0</v>
      </c>
      <c r="E57">
        <v>1</v>
      </c>
      <c r="F57">
        <v>1</v>
      </c>
      <c r="G57">
        <v>5</v>
      </c>
      <c r="H57">
        <v>4</v>
      </c>
      <c r="I57">
        <v>0</v>
      </c>
      <c r="J57">
        <v>170500</v>
      </c>
      <c r="K57">
        <v>0</v>
      </c>
      <c r="L57">
        <v>10</v>
      </c>
      <c r="M57" t="s">
        <v>332</v>
      </c>
      <c r="N57" t="s">
        <v>47</v>
      </c>
      <c r="O57">
        <v>2030</v>
      </c>
      <c r="P57" t="s">
        <v>333</v>
      </c>
      <c r="Q57" t="s">
        <v>49</v>
      </c>
      <c r="R57" t="s">
        <v>50</v>
      </c>
      <c r="S57" t="s">
        <v>51</v>
      </c>
      <c r="T57" t="s">
        <v>52</v>
      </c>
      <c r="U57" t="s">
        <v>118</v>
      </c>
      <c r="V57" t="s">
        <v>334</v>
      </c>
      <c r="W57" s="1">
        <f t="shared" si="0"/>
        <v>39818</v>
      </c>
      <c r="Y57" t="s">
        <v>55</v>
      </c>
      <c r="Z57" t="s">
        <v>56</v>
      </c>
      <c r="AA57" t="s">
        <v>57</v>
      </c>
      <c r="AB57" t="s">
        <v>221</v>
      </c>
      <c r="AC57">
        <v>2</v>
      </c>
      <c r="AD57" t="s">
        <v>72</v>
      </c>
      <c r="AE57" t="s">
        <v>60</v>
      </c>
      <c r="AF57">
        <v>3.7</v>
      </c>
      <c r="AG57">
        <v>5</v>
      </c>
      <c r="AH57">
        <v>0</v>
      </c>
      <c r="AI57" t="s">
        <v>335</v>
      </c>
      <c r="AJ57">
        <v>0</v>
      </c>
      <c r="AK57">
        <v>15</v>
      </c>
    </row>
    <row r="58" spans="1:45">
      <c r="A58" t="s">
        <v>336</v>
      </c>
      <c r="B58">
        <v>10094</v>
      </c>
      <c r="C58">
        <v>1</v>
      </c>
      <c r="D58">
        <v>1</v>
      </c>
      <c r="E58">
        <v>0</v>
      </c>
      <c r="F58">
        <v>1</v>
      </c>
      <c r="G58">
        <v>5</v>
      </c>
      <c r="H58">
        <v>3</v>
      </c>
      <c r="I58">
        <v>0</v>
      </c>
      <c r="J58">
        <v>63381</v>
      </c>
      <c r="K58">
        <v>0</v>
      </c>
      <c r="L58">
        <v>19</v>
      </c>
      <c r="M58" t="s">
        <v>46</v>
      </c>
      <c r="N58" t="s">
        <v>47</v>
      </c>
      <c r="O58">
        <v>2189</v>
      </c>
      <c r="P58" t="s">
        <v>337</v>
      </c>
      <c r="Q58" t="s">
        <v>78</v>
      </c>
      <c r="R58" t="s">
        <v>65</v>
      </c>
      <c r="S58" t="s">
        <v>51</v>
      </c>
      <c r="T58" t="s">
        <v>131</v>
      </c>
      <c r="U58" t="s">
        <v>53</v>
      </c>
      <c r="V58" t="s">
        <v>126</v>
      </c>
      <c r="W58" s="1">
        <f t="shared" si="0"/>
        <v>42009</v>
      </c>
      <c r="Y58" t="s">
        <v>55</v>
      </c>
      <c r="Z58" t="s">
        <v>56</v>
      </c>
      <c r="AA58" t="s">
        <v>57</v>
      </c>
      <c r="AB58" t="s">
        <v>151</v>
      </c>
      <c r="AC58">
        <v>18</v>
      </c>
      <c r="AD58" t="s">
        <v>72</v>
      </c>
      <c r="AE58" t="s">
        <v>73</v>
      </c>
      <c r="AF58">
        <v>4.7300000000000004</v>
      </c>
      <c r="AG58">
        <v>5</v>
      </c>
      <c r="AH58">
        <v>0</v>
      </c>
      <c r="AI58" t="s">
        <v>152</v>
      </c>
      <c r="AJ58">
        <v>0</v>
      </c>
      <c r="AK58">
        <v>6</v>
      </c>
    </row>
    <row r="59" spans="1:45">
      <c r="A59" t="s">
        <v>338</v>
      </c>
      <c r="B59">
        <v>10193</v>
      </c>
      <c r="C59">
        <v>1</v>
      </c>
      <c r="D59">
        <v>1</v>
      </c>
      <c r="E59">
        <v>1</v>
      </c>
      <c r="F59">
        <v>1</v>
      </c>
      <c r="G59">
        <v>3</v>
      </c>
      <c r="H59">
        <v>3</v>
      </c>
      <c r="I59">
        <v>0</v>
      </c>
      <c r="J59">
        <v>83552</v>
      </c>
      <c r="K59">
        <v>0</v>
      </c>
      <c r="L59">
        <v>9</v>
      </c>
      <c r="M59" t="s">
        <v>144</v>
      </c>
      <c r="N59" t="s">
        <v>47</v>
      </c>
      <c r="O59">
        <v>1810</v>
      </c>
      <c r="P59" t="s">
        <v>339</v>
      </c>
      <c r="Q59" t="s">
        <v>49</v>
      </c>
      <c r="R59" t="s">
        <v>65</v>
      </c>
      <c r="S59" t="s">
        <v>51</v>
      </c>
      <c r="T59" t="s">
        <v>52</v>
      </c>
      <c r="U59" t="s">
        <v>53</v>
      </c>
      <c r="V59" t="s">
        <v>66</v>
      </c>
      <c r="W59" s="1">
        <f t="shared" si="0"/>
        <v>42093</v>
      </c>
      <c r="Y59" t="s">
        <v>55</v>
      </c>
      <c r="Z59" t="s">
        <v>56</v>
      </c>
      <c r="AA59" t="s">
        <v>70</v>
      </c>
      <c r="AB59" t="s">
        <v>71</v>
      </c>
      <c r="AC59">
        <v>4</v>
      </c>
      <c r="AD59" t="s">
        <v>72</v>
      </c>
      <c r="AE59" t="s">
        <v>73</v>
      </c>
      <c r="AF59">
        <v>3.04</v>
      </c>
      <c r="AG59">
        <v>3</v>
      </c>
      <c r="AH59">
        <v>6</v>
      </c>
      <c r="AI59" t="s">
        <v>340</v>
      </c>
      <c r="AJ59">
        <v>0</v>
      </c>
      <c r="AK59">
        <v>2</v>
      </c>
    </row>
    <row r="60" spans="1:45">
      <c r="A60" t="s">
        <v>341</v>
      </c>
      <c r="B60">
        <v>10132</v>
      </c>
      <c r="C60">
        <v>0</v>
      </c>
      <c r="D60">
        <v>0</v>
      </c>
      <c r="E60">
        <v>0</v>
      </c>
      <c r="F60">
        <v>2</v>
      </c>
      <c r="G60">
        <v>5</v>
      </c>
      <c r="H60">
        <v>3</v>
      </c>
      <c r="I60">
        <v>0</v>
      </c>
      <c r="J60">
        <v>56149</v>
      </c>
      <c r="K60">
        <v>0</v>
      </c>
      <c r="L60">
        <v>19</v>
      </c>
      <c r="M60" t="s">
        <v>46</v>
      </c>
      <c r="N60" t="s">
        <v>47</v>
      </c>
      <c r="O60">
        <v>1821</v>
      </c>
      <c r="P60" t="s">
        <v>342</v>
      </c>
      <c r="Q60" t="s">
        <v>78</v>
      </c>
      <c r="R60" t="s">
        <v>50</v>
      </c>
      <c r="S60" t="s">
        <v>51</v>
      </c>
      <c r="T60" t="s">
        <v>52</v>
      </c>
      <c r="U60" t="s">
        <v>53</v>
      </c>
      <c r="V60" t="s">
        <v>320</v>
      </c>
      <c r="W60" s="1">
        <f t="shared" si="0"/>
        <v>42557</v>
      </c>
      <c r="Y60" t="s">
        <v>55</v>
      </c>
      <c r="Z60" t="s">
        <v>56</v>
      </c>
      <c r="AA60" t="s">
        <v>57</v>
      </c>
      <c r="AB60" t="s">
        <v>58</v>
      </c>
      <c r="AC60">
        <v>22</v>
      </c>
      <c r="AD60" t="s">
        <v>59</v>
      </c>
      <c r="AE60" t="s">
        <v>73</v>
      </c>
      <c r="AF60">
        <v>4.12</v>
      </c>
      <c r="AG60">
        <v>5</v>
      </c>
      <c r="AH60">
        <v>0</v>
      </c>
      <c r="AI60" t="s">
        <v>343</v>
      </c>
      <c r="AJ60">
        <v>0</v>
      </c>
      <c r="AK60">
        <v>15</v>
      </c>
    </row>
    <row r="61" spans="1:45">
      <c r="A61" t="s">
        <v>344</v>
      </c>
      <c r="B61">
        <v>10083</v>
      </c>
      <c r="C61">
        <v>0</v>
      </c>
      <c r="D61">
        <v>0</v>
      </c>
      <c r="E61">
        <v>1</v>
      </c>
      <c r="F61">
        <v>1</v>
      </c>
      <c r="G61">
        <v>3</v>
      </c>
      <c r="H61">
        <v>3</v>
      </c>
      <c r="I61">
        <v>0</v>
      </c>
      <c r="J61">
        <v>92329</v>
      </c>
      <c r="K61">
        <v>0</v>
      </c>
      <c r="L61">
        <v>28</v>
      </c>
      <c r="M61" t="s">
        <v>345</v>
      </c>
      <c r="N61" t="s">
        <v>204</v>
      </c>
      <c r="O61">
        <v>6278</v>
      </c>
      <c r="P61" t="s">
        <v>346</v>
      </c>
      <c r="Q61" t="s">
        <v>49</v>
      </c>
      <c r="R61" t="s">
        <v>50</v>
      </c>
      <c r="S61" t="s">
        <v>51</v>
      </c>
      <c r="T61" t="s">
        <v>52</v>
      </c>
      <c r="U61" t="s">
        <v>53</v>
      </c>
      <c r="V61" t="s">
        <v>105</v>
      </c>
      <c r="W61" s="1">
        <f t="shared" si="0"/>
        <v>41953</v>
      </c>
      <c r="Y61" t="s">
        <v>55</v>
      </c>
      <c r="Z61" t="s">
        <v>56</v>
      </c>
      <c r="AA61" t="s">
        <v>70</v>
      </c>
      <c r="AB61" t="s">
        <v>127</v>
      </c>
      <c r="AC61">
        <v>7</v>
      </c>
      <c r="AD61" t="s">
        <v>114</v>
      </c>
      <c r="AE61" t="s">
        <v>73</v>
      </c>
      <c r="AF61">
        <v>5</v>
      </c>
      <c r="AG61">
        <v>3</v>
      </c>
      <c r="AH61">
        <v>4</v>
      </c>
      <c r="AI61" t="s">
        <v>108</v>
      </c>
      <c r="AJ61">
        <v>0</v>
      </c>
      <c r="AK61">
        <v>5</v>
      </c>
    </row>
    <row r="62" spans="1:45">
      <c r="A62" t="s">
        <v>347</v>
      </c>
      <c r="B62">
        <v>10099</v>
      </c>
      <c r="C62">
        <v>0</v>
      </c>
      <c r="D62">
        <v>0</v>
      </c>
      <c r="E62">
        <v>0</v>
      </c>
      <c r="F62">
        <v>1</v>
      </c>
      <c r="G62">
        <v>6</v>
      </c>
      <c r="H62">
        <v>3</v>
      </c>
      <c r="I62">
        <v>0</v>
      </c>
      <c r="J62">
        <v>65729</v>
      </c>
      <c r="K62">
        <v>0</v>
      </c>
      <c r="L62">
        <v>21</v>
      </c>
      <c r="M62" t="s">
        <v>348</v>
      </c>
      <c r="N62" t="s">
        <v>274</v>
      </c>
      <c r="O62">
        <v>5473</v>
      </c>
      <c r="P62" t="s">
        <v>349</v>
      </c>
      <c r="Q62" t="s">
        <v>78</v>
      </c>
      <c r="R62" t="s">
        <v>50</v>
      </c>
      <c r="S62" t="s">
        <v>51</v>
      </c>
      <c r="T62" t="s">
        <v>52</v>
      </c>
      <c r="U62" t="s">
        <v>53</v>
      </c>
      <c r="V62" t="s">
        <v>350</v>
      </c>
      <c r="W62" s="1">
        <f t="shared" si="0"/>
        <v>41764</v>
      </c>
      <c r="Y62" t="s">
        <v>55</v>
      </c>
      <c r="Z62" t="s">
        <v>56</v>
      </c>
      <c r="AA62" t="s">
        <v>247</v>
      </c>
      <c r="AB62" t="s">
        <v>351</v>
      </c>
      <c r="AC62">
        <v>15</v>
      </c>
      <c r="AD62" t="s">
        <v>72</v>
      </c>
      <c r="AE62" t="s">
        <v>73</v>
      </c>
      <c r="AF62">
        <v>4.62</v>
      </c>
      <c r="AG62">
        <v>4</v>
      </c>
      <c r="AH62">
        <v>0</v>
      </c>
      <c r="AI62" t="s">
        <v>352</v>
      </c>
      <c r="AJ62">
        <v>0</v>
      </c>
      <c r="AK62">
        <v>8</v>
      </c>
    </row>
    <row r="63" spans="1:45">
      <c r="A63" t="s">
        <v>353</v>
      </c>
      <c r="B63">
        <v>10212</v>
      </c>
      <c r="C63">
        <v>1</v>
      </c>
      <c r="D63">
        <v>1</v>
      </c>
      <c r="E63">
        <v>0</v>
      </c>
      <c r="F63">
        <v>3</v>
      </c>
      <c r="G63">
        <v>3</v>
      </c>
      <c r="H63">
        <v>3</v>
      </c>
      <c r="I63">
        <v>0</v>
      </c>
      <c r="J63">
        <v>85028</v>
      </c>
      <c r="K63">
        <v>0</v>
      </c>
      <c r="L63">
        <v>28</v>
      </c>
      <c r="M63" t="s">
        <v>345</v>
      </c>
      <c r="N63" t="s">
        <v>204</v>
      </c>
      <c r="O63">
        <v>6033</v>
      </c>
      <c r="P63" t="s">
        <v>354</v>
      </c>
      <c r="Q63" t="s">
        <v>78</v>
      </c>
      <c r="R63" t="s">
        <v>65</v>
      </c>
      <c r="S63" t="s">
        <v>51</v>
      </c>
      <c r="T63" t="s">
        <v>52</v>
      </c>
      <c r="U63" t="s">
        <v>53</v>
      </c>
      <c r="V63" t="s">
        <v>105</v>
      </c>
      <c r="W63" s="1">
        <f t="shared" si="0"/>
        <v>41953</v>
      </c>
      <c r="Y63" t="s">
        <v>55</v>
      </c>
      <c r="Z63" t="s">
        <v>56</v>
      </c>
      <c r="AA63" t="s">
        <v>70</v>
      </c>
      <c r="AB63" t="s">
        <v>127</v>
      </c>
      <c r="AC63">
        <v>7</v>
      </c>
      <c r="AD63" t="s">
        <v>59</v>
      </c>
      <c r="AE63" t="s">
        <v>73</v>
      </c>
      <c r="AF63">
        <v>3.1</v>
      </c>
      <c r="AG63">
        <v>5</v>
      </c>
      <c r="AH63">
        <v>8</v>
      </c>
      <c r="AI63" t="s">
        <v>279</v>
      </c>
      <c r="AJ63">
        <v>0</v>
      </c>
      <c r="AK63">
        <v>19</v>
      </c>
    </row>
    <row r="64" spans="1:45">
      <c r="A64" t="s">
        <v>355</v>
      </c>
      <c r="B64">
        <v>10056</v>
      </c>
      <c r="C64">
        <v>1</v>
      </c>
      <c r="D64">
        <v>1</v>
      </c>
      <c r="E64">
        <v>0</v>
      </c>
      <c r="F64">
        <v>1</v>
      </c>
      <c r="G64">
        <v>5</v>
      </c>
      <c r="H64">
        <v>3</v>
      </c>
      <c r="I64">
        <v>0</v>
      </c>
      <c r="J64">
        <v>57583</v>
      </c>
      <c r="K64">
        <v>0</v>
      </c>
      <c r="L64">
        <v>19</v>
      </c>
      <c r="M64" t="s">
        <v>46</v>
      </c>
      <c r="N64" t="s">
        <v>47</v>
      </c>
      <c r="O64">
        <v>2110</v>
      </c>
      <c r="P64" t="s">
        <v>356</v>
      </c>
      <c r="Q64" t="s">
        <v>78</v>
      </c>
      <c r="R64" t="s">
        <v>65</v>
      </c>
      <c r="S64" t="s">
        <v>51</v>
      </c>
      <c r="T64" t="s">
        <v>52</v>
      </c>
      <c r="U64" t="s">
        <v>53</v>
      </c>
      <c r="V64" t="s">
        <v>357</v>
      </c>
      <c r="W64" s="1">
        <f t="shared" si="0"/>
        <v>41092</v>
      </c>
      <c r="Y64" t="s">
        <v>55</v>
      </c>
      <c r="Z64" t="s">
        <v>56</v>
      </c>
      <c r="AA64" t="s">
        <v>57</v>
      </c>
      <c r="AB64" t="s">
        <v>86</v>
      </c>
      <c r="AC64">
        <v>16</v>
      </c>
      <c r="AD64" t="s">
        <v>72</v>
      </c>
      <c r="AE64" t="s">
        <v>73</v>
      </c>
      <c r="AF64">
        <v>5</v>
      </c>
      <c r="AG64">
        <v>3</v>
      </c>
      <c r="AH64">
        <v>0</v>
      </c>
      <c r="AI64" t="s">
        <v>115</v>
      </c>
      <c r="AJ64">
        <v>0</v>
      </c>
      <c r="AK64">
        <v>1</v>
      </c>
    </row>
    <row r="65" spans="1:37">
      <c r="A65" t="s">
        <v>358</v>
      </c>
      <c r="B65">
        <v>10143</v>
      </c>
      <c r="C65">
        <v>0</v>
      </c>
      <c r="D65">
        <v>0</v>
      </c>
      <c r="E65">
        <v>1</v>
      </c>
      <c r="F65">
        <v>1</v>
      </c>
      <c r="G65">
        <v>5</v>
      </c>
      <c r="H65">
        <v>3</v>
      </c>
      <c r="I65">
        <v>0</v>
      </c>
      <c r="J65">
        <v>56294</v>
      </c>
      <c r="K65">
        <v>0</v>
      </c>
      <c r="L65">
        <v>20</v>
      </c>
      <c r="M65" t="s">
        <v>76</v>
      </c>
      <c r="N65" t="s">
        <v>47</v>
      </c>
      <c r="O65">
        <v>2458</v>
      </c>
      <c r="P65" t="s">
        <v>359</v>
      </c>
      <c r="Q65" t="s">
        <v>49</v>
      </c>
      <c r="R65" t="s">
        <v>50</v>
      </c>
      <c r="S65" t="s">
        <v>171</v>
      </c>
      <c r="T65" t="s">
        <v>52</v>
      </c>
      <c r="U65" t="s">
        <v>149</v>
      </c>
      <c r="V65" t="s">
        <v>360</v>
      </c>
      <c r="W65" s="1">
        <f t="shared" si="0"/>
        <v>40854</v>
      </c>
      <c r="Y65" t="s">
        <v>55</v>
      </c>
      <c r="Z65" t="s">
        <v>56</v>
      </c>
      <c r="AA65" t="s">
        <v>57</v>
      </c>
      <c r="AB65" t="s">
        <v>81</v>
      </c>
      <c r="AC65">
        <v>20</v>
      </c>
      <c r="AD65" t="s">
        <v>59</v>
      </c>
      <c r="AE65" t="s">
        <v>73</v>
      </c>
      <c r="AF65">
        <v>3.96</v>
      </c>
      <c r="AG65">
        <v>4</v>
      </c>
      <c r="AH65">
        <v>0</v>
      </c>
      <c r="AI65" t="s">
        <v>193</v>
      </c>
      <c r="AJ65">
        <v>0</v>
      </c>
      <c r="AK65">
        <v>6</v>
      </c>
    </row>
    <row r="66" spans="1:37">
      <c r="A66" t="s">
        <v>361</v>
      </c>
      <c r="B66">
        <v>10311</v>
      </c>
      <c r="C66">
        <v>1</v>
      </c>
      <c r="D66">
        <v>1</v>
      </c>
      <c r="E66">
        <v>1</v>
      </c>
      <c r="F66">
        <v>1</v>
      </c>
      <c r="G66">
        <v>6</v>
      </c>
      <c r="H66">
        <v>1</v>
      </c>
      <c r="I66">
        <v>0</v>
      </c>
      <c r="J66">
        <v>56991</v>
      </c>
      <c r="K66">
        <v>0</v>
      </c>
      <c r="L66">
        <v>19</v>
      </c>
      <c r="M66" t="s">
        <v>46</v>
      </c>
      <c r="N66" t="s">
        <v>47</v>
      </c>
      <c r="O66">
        <v>2138</v>
      </c>
      <c r="P66" t="s">
        <v>362</v>
      </c>
      <c r="Q66" t="s">
        <v>49</v>
      </c>
      <c r="R66" t="s">
        <v>65</v>
      </c>
      <c r="S66" t="s">
        <v>51</v>
      </c>
      <c r="T66" t="s">
        <v>52</v>
      </c>
      <c r="U66" t="s">
        <v>53</v>
      </c>
      <c r="V66" t="s">
        <v>363</v>
      </c>
      <c r="W66" s="1">
        <f t="shared" si="0"/>
        <v>43290</v>
      </c>
      <c r="Y66" t="s">
        <v>55</v>
      </c>
      <c r="Z66" t="s">
        <v>56</v>
      </c>
      <c r="AA66" t="s">
        <v>57</v>
      </c>
      <c r="AB66" t="s">
        <v>120</v>
      </c>
      <c r="AC66">
        <v>12</v>
      </c>
      <c r="AD66" t="s">
        <v>72</v>
      </c>
      <c r="AE66" t="s">
        <v>73</v>
      </c>
      <c r="AF66">
        <v>4.3</v>
      </c>
      <c r="AG66">
        <v>4</v>
      </c>
      <c r="AH66">
        <v>3</v>
      </c>
      <c r="AI66" t="s">
        <v>364</v>
      </c>
      <c r="AJ66">
        <v>2</v>
      </c>
      <c r="AK66">
        <v>2</v>
      </c>
    </row>
    <row r="67" spans="1:37">
      <c r="A67" t="s">
        <v>365</v>
      </c>
      <c r="B67">
        <v>10070</v>
      </c>
      <c r="C67">
        <v>1</v>
      </c>
      <c r="D67">
        <v>1</v>
      </c>
      <c r="E67">
        <v>1</v>
      </c>
      <c r="F67">
        <v>5</v>
      </c>
      <c r="G67">
        <v>5</v>
      </c>
      <c r="H67">
        <v>3</v>
      </c>
      <c r="I67">
        <v>0</v>
      </c>
      <c r="J67">
        <v>55722</v>
      </c>
      <c r="K67">
        <v>1</v>
      </c>
      <c r="L67">
        <v>19</v>
      </c>
      <c r="M67" t="s">
        <v>46</v>
      </c>
      <c r="N67" t="s">
        <v>47</v>
      </c>
      <c r="O67">
        <v>1810</v>
      </c>
      <c r="P67" t="s">
        <v>366</v>
      </c>
      <c r="Q67" t="s">
        <v>49</v>
      </c>
      <c r="R67" t="s">
        <v>65</v>
      </c>
      <c r="S67" t="s">
        <v>51</v>
      </c>
      <c r="T67" t="s">
        <v>52</v>
      </c>
      <c r="U67" t="s">
        <v>53</v>
      </c>
      <c r="V67" t="s">
        <v>310</v>
      </c>
      <c r="W67" s="1">
        <f t="shared" ref="W67:W105" si="9">DATE(RIGHT(V67,4),LEFT(V67,FIND("/",V67)-1),MID(V67,FIND("/",V67)+1,FIND("/",V67,FIND("/",V67)+1)-FIND("/",V67)-1))</f>
        <v>40679</v>
      </c>
      <c r="X67" t="s">
        <v>367</v>
      </c>
      <c r="Y67" t="s">
        <v>141</v>
      </c>
      <c r="Z67" t="s">
        <v>69</v>
      </c>
      <c r="AA67" t="s">
        <v>57</v>
      </c>
      <c r="AB67" t="s">
        <v>94</v>
      </c>
      <c r="AC67">
        <v>39</v>
      </c>
      <c r="AD67" t="s">
        <v>72</v>
      </c>
      <c r="AE67" t="s">
        <v>73</v>
      </c>
      <c r="AF67">
        <v>5</v>
      </c>
      <c r="AG67">
        <v>4</v>
      </c>
      <c r="AH67">
        <v>0</v>
      </c>
      <c r="AI67" t="s">
        <v>368</v>
      </c>
      <c r="AJ67">
        <v>0</v>
      </c>
      <c r="AK67">
        <v>14</v>
      </c>
    </row>
    <row r="68" spans="1:37">
      <c r="A68" t="s">
        <v>369</v>
      </c>
      <c r="B68">
        <v>10155</v>
      </c>
      <c r="C68">
        <v>0</v>
      </c>
      <c r="D68">
        <v>0</v>
      </c>
      <c r="E68">
        <v>0</v>
      </c>
      <c r="F68">
        <v>1</v>
      </c>
      <c r="G68">
        <v>4</v>
      </c>
      <c r="H68">
        <v>3</v>
      </c>
      <c r="I68">
        <v>0</v>
      </c>
      <c r="J68">
        <v>101199</v>
      </c>
      <c r="K68">
        <v>0</v>
      </c>
      <c r="L68">
        <v>24</v>
      </c>
      <c r="M68" t="s">
        <v>103</v>
      </c>
      <c r="N68" t="s">
        <v>47</v>
      </c>
      <c r="O68">
        <v>2176</v>
      </c>
      <c r="P68" t="s">
        <v>370</v>
      </c>
      <c r="Q68" t="s">
        <v>78</v>
      </c>
      <c r="R68" t="s">
        <v>50</v>
      </c>
      <c r="S68" t="s">
        <v>51</v>
      </c>
      <c r="T68" t="s">
        <v>52</v>
      </c>
      <c r="U68" t="s">
        <v>118</v>
      </c>
      <c r="V68" t="s">
        <v>99</v>
      </c>
      <c r="W68" s="1">
        <f t="shared" si="9"/>
        <v>40917</v>
      </c>
      <c r="Y68" t="s">
        <v>55</v>
      </c>
      <c r="Z68" t="s">
        <v>56</v>
      </c>
      <c r="AA68" t="s">
        <v>106</v>
      </c>
      <c r="AB68" t="s">
        <v>107</v>
      </c>
      <c r="AC68">
        <v>10</v>
      </c>
      <c r="AD68" t="s">
        <v>196</v>
      </c>
      <c r="AE68" t="s">
        <v>73</v>
      </c>
      <c r="AF68">
        <v>3.79</v>
      </c>
      <c r="AG68">
        <v>5</v>
      </c>
      <c r="AH68">
        <v>5</v>
      </c>
      <c r="AI68" t="s">
        <v>122</v>
      </c>
      <c r="AJ68">
        <v>0</v>
      </c>
      <c r="AK68">
        <v>8</v>
      </c>
    </row>
    <row r="69" spans="1:37">
      <c r="A69" t="s">
        <v>371</v>
      </c>
      <c r="B69">
        <v>10306</v>
      </c>
      <c r="C69">
        <v>0</v>
      </c>
      <c r="D69">
        <v>0</v>
      </c>
      <c r="E69">
        <v>1</v>
      </c>
      <c r="F69">
        <v>1</v>
      </c>
      <c r="G69">
        <v>6</v>
      </c>
      <c r="H69">
        <v>1</v>
      </c>
      <c r="I69">
        <v>0</v>
      </c>
      <c r="J69">
        <v>61568</v>
      </c>
      <c r="K69">
        <v>0</v>
      </c>
      <c r="L69">
        <v>3</v>
      </c>
      <c r="M69" t="s">
        <v>242</v>
      </c>
      <c r="N69" t="s">
        <v>372</v>
      </c>
      <c r="O69">
        <v>36006</v>
      </c>
      <c r="P69" t="s">
        <v>373</v>
      </c>
      <c r="Q69" t="s">
        <v>49</v>
      </c>
      <c r="R69" t="s">
        <v>50</v>
      </c>
      <c r="S69" t="s">
        <v>51</v>
      </c>
      <c r="T69" t="s">
        <v>52</v>
      </c>
      <c r="U69" t="s">
        <v>149</v>
      </c>
      <c r="V69" t="s">
        <v>234</v>
      </c>
      <c r="W69" s="1">
        <f t="shared" si="9"/>
        <v>41911</v>
      </c>
      <c r="Y69" t="s">
        <v>55</v>
      </c>
      <c r="Z69" t="s">
        <v>56</v>
      </c>
      <c r="AA69" t="s">
        <v>247</v>
      </c>
      <c r="AB69" t="s">
        <v>248</v>
      </c>
      <c r="AC69">
        <v>17</v>
      </c>
      <c r="AD69" t="s">
        <v>72</v>
      </c>
      <c r="AE69" t="s">
        <v>374</v>
      </c>
      <c r="AF69">
        <v>1.93</v>
      </c>
      <c r="AG69">
        <v>3</v>
      </c>
      <c r="AH69">
        <v>0</v>
      </c>
      <c r="AI69" t="s">
        <v>266</v>
      </c>
      <c r="AJ69">
        <v>6</v>
      </c>
      <c r="AK69">
        <v>5</v>
      </c>
    </row>
    <row r="70" spans="1:37">
      <c r="A70" t="s">
        <v>375</v>
      </c>
      <c r="B70">
        <v>10100</v>
      </c>
      <c r="C70">
        <v>0</v>
      </c>
      <c r="D70">
        <v>3</v>
      </c>
      <c r="E70">
        <v>0</v>
      </c>
      <c r="F70">
        <v>5</v>
      </c>
      <c r="G70">
        <v>5</v>
      </c>
      <c r="H70">
        <v>3</v>
      </c>
      <c r="I70">
        <v>0</v>
      </c>
      <c r="J70">
        <v>58275</v>
      </c>
      <c r="K70">
        <v>1</v>
      </c>
      <c r="L70">
        <v>20</v>
      </c>
      <c r="M70" t="s">
        <v>76</v>
      </c>
      <c r="N70" t="s">
        <v>47</v>
      </c>
      <c r="O70">
        <v>2343</v>
      </c>
      <c r="P70" t="s">
        <v>376</v>
      </c>
      <c r="Q70" t="s">
        <v>78</v>
      </c>
      <c r="R70" t="s">
        <v>238</v>
      </c>
      <c r="S70" t="s">
        <v>51</v>
      </c>
      <c r="T70" t="s">
        <v>52</v>
      </c>
      <c r="U70" t="s">
        <v>118</v>
      </c>
      <c r="V70" t="s">
        <v>172</v>
      </c>
      <c r="W70" s="1">
        <f t="shared" si="9"/>
        <v>40637</v>
      </c>
      <c r="X70" t="s">
        <v>377</v>
      </c>
      <c r="Y70" t="s">
        <v>378</v>
      </c>
      <c r="Z70" t="s">
        <v>69</v>
      </c>
      <c r="AA70" t="s">
        <v>57</v>
      </c>
      <c r="AB70" t="s">
        <v>151</v>
      </c>
      <c r="AC70">
        <v>18</v>
      </c>
      <c r="AD70" t="s">
        <v>95</v>
      </c>
      <c r="AE70" t="s">
        <v>73</v>
      </c>
      <c r="AF70">
        <v>4.62</v>
      </c>
      <c r="AG70">
        <v>5</v>
      </c>
      <c r="AH70">
        <v>0</v>
      </c>
      <c r="AI70" t="s">
        <v>379</v>
      </c>
      <c r="AJ70">
        <v>0</v>
      </c>
      <c r="AK70">
        <v>1</v>
      </c>
    </row>
    <row r="71" spans="1:37">
      <c r="A71" t="s">
        <v>380</v>
      </c>
      <c r="B71">
        <v>10310</v>
      </c>
      <c r="C71">
        <v>1</v>
      </c>
      <c r="D71">
        <v>1</v>
      </c>
      <c r="E71">
        <v>1</v>
      </c>
      <c r="F71">
        <v>1</v>
      </c>
      <c r="G71">
        <v>5</v>
      </c>
      <c r="H71">
        <v>1</v>
      </c>
      <c r="I71">
        <v>0</v>
      </c>
      <c r="J71">
        <v>53189</v>
      </c>
      <c r="K71">
        <v>0</v>
      </c>
      <c r="L71">
        <v>19</v>
      </c>
      <c r="M71" t="s">
        <v>46</v>
      </c>
      <c r="N71" t="s">
        <v>47</v>
      </c>
      <c r="O71">
        <v>2061</v>
      </c>
      <c r="P71" t="s">
        <v>381</v>
      </c>
      <c r="Q71" t="s">
        <v>49</v>
      </c>
      <c r="R71" t="s">
        <v>65</v>
      </c>
      <c r="S71" t="s">
        <v>51</v>
      </c>
      <c r="T71" t="s">
        <v>52</v>
      </c>
      <c r="U71" t="s">
        <v>53</v>
      </c>
      <c r="V71" t="s">
        <v>176</v>
      </c>
      <c r="W71" s="1">
        <f t="shared" si="9"/>
        <v>41827</v>
      </c>
      <c r="Y71" t="s">
        <v>55</v>
      </c>
      <c r="Z71" t="s">
        <v>56</v>
      </c>
      <c r="AA71" t="s">
        <v>57</v>
      </c>
      <c r="AB71" t="s">
        <v>100</v>
      </c>
      <c r="AC71">
        <v>11</v>
      </c>
      <c r="AD71" t="s">
        <v>72</v>
      </c>
      <c r="AE71" t="s">
        <v>374</v>
      </c>
      <c r="AF71">
        <v>1.1200000000000001</v>
      </c>
      <c r="AG71">
        <v>2</v>
      </c>
      <c r="AH71">
        <v>0</v>
      </c>
      <c r="AI71" t="s">
        <v>364</v>
      </c>
      <c r="AJ71">
        <v>4</v>
      </c>
      <c r="AK71">
        <v>9</v>
      </c>
    </row>
    <row r="72" spans="1:37">
      <c r="A72" t="s">
        <v>382</v>
      </c>
      <c r="B72">
        <v>10197</v>
      </c>
      <c r="C72">
        <v>0</v>
      </c>
      <c r="D72">
        <v>0</v>
      </c>
      <c r="E72">
        <v>1</v>
      </c>
      <c r="F72">
        <v>1</v>
      </c>
      <c r="G72">
        <v>3</v>
      </c>
      <c r="H72">
        <v>3</v>
      </c>
      <c r="I72">
        <v>0</v>
      </c>
      <c r="J72">
        <v>96820</v>
      </c>
      <c r="K72">
        <v>0</v>
      </c>
      <c r="L72">
        <v>4</v>
      </c>
      <c r="M72" t="s">
        <v>383</v>
      </c>
      <c r="N72" t="s">
        <v>47</v>
      </c>
      <c r="O72">
        <v>2045</v>
      </c>
      <c r="P72" t="s">
        <v>384</v>
      </c>
      <c r="Q72" t="s">
        <v>49</v>
      </c>
      <c r="R72" t="s">
        <v>50</v>
      </c>
      <c r="S72" t="s">
        <v>51</v>
      </c>
      <c r="T72" t="s">
        <v>52</v>
      </c>
      <c r="U72" t="s">
        <v>53</v>
      </c>
      <c r="V72" t="s">
        <v>385</v>
      </c>
      <c r="W72" s="1">
        <f t="shared" si="9"/>
        <v>42781</v>
      </c>
      <c r="Y72" t="s">
        <v>55</v>
      </c>
      <c r="Z72" t="s">
        <v>56</v>
      </c>
      <c r="AA72" t="s">
        <v>70</v>
      </c>
      <c r="AB72" t="s">
        <v>386</v>
      </c>
      <c r="AC72">
        <v>13</v>
      </c>
      <c r="AD72" t="s">
        <v>72</v>
      </c>
      <c r="AE72" t="s">
        <v>73</v>
      </c>
      <c r="AF72">
        <v>3.01</v>
      </c>
      <c r="AG72">
        <v>5</v>
      </c>
      <c r="AH72">
        <v>7</v>
      </c>
      <c r="AI72" t="s">
        <v>387</v>
      </c>
      <c r="AJ72">
        <v>0</v>
      </c>
      <c r="AK72">
        <v>15</v>
      </c>
    </row>
    <row r="73" spans="1:37">
      <c r="A73" t="s">
        <v>388</v>
      </c>
      <c r="B73">
        <v>10276</v>
      </c>
      <c r="C73">
        <v>0</v>
      </c>
      <c r="D73">
        <v>0</v>
      </c>
      <c r="E73">
        <v>1</v>
      </c>
      <c r="F73">
        <v>1</v>
      </c>
      <c r="G73">
        <v>5</v>
      </c>
      <c r="H73">
        <v>3</v>
      </c>
      <c r="I73">
        <v>0</v>
      </c>
      <c r="J73">
        <v>51259</v>
      </c>
      <c r="K73">
        <v>0</v>
      </c>
      <c r="L73">
        <v>19</v>
      </c>
      <c r="M73" t="s">
        <v>46</v>
      </c>
      <c r="N73" t="s">
        <v>47</v>
      </c>
      <c r="O73">
        <v>2180</v>
      </c>
      <c r="P73" t="s">
        <v>389</v>
      </c>
      <c r="Q73" t="s">
        <v>49</v>
      </c>
      <c r="R73" t="s">
        <v>50</v>
      </c>
      <c r="S73" t="s">
        <v>51</v>
      </c>
      <c r="T73" t="s">
        <v>52</v>
      </c>
      <c r="U73" t="s">
        <v>53</v>
      </c>
      <c r="V73" t="s">
        <v>285</v>
      </c>
      <c r="W73" s="1">
        <f t="shared" si="9"/>
        <v>41771</v>
      </c>
      <c r="Y73" t="s">
        <v>55</v>
      </c>
      <c r="Z73" t="s">
        <v>56</v>
      </c>
      <c r="AA73" t="s">
        <v>57</v>
      </c>
      <c r="AB73" t="s">
        <v>113</v>
      </c>
      <c r="AC73">
        <v>19</v>
      </c>
      <c r="AD73" t="s">
        <v>72</v>
      </c>
      <c r="AE73" t="s">
        <v>73</v>
      </c>
      <c r="AF73">
        <v>4.3</v>
      </c>
      <c r="AG73">
        <v>4</v>
      </c>
      <c r="AH73">
        <v>0</v>
      </c>
      <c r="AI73" t="s">
        <v>286</v>
      </c>
      <c r="AJ73">
        <v>0</v>
      </c>
      <c r="AK73">
        <v>1</v>
      </c>
    </row>
    <row r="74" spans="1:37">
      <c r="A74" t="s">
        <v>390</v>
      </c>
      <c r="B74">
        <v>10304</v>
      </c>
      <c r="C74">
        <v>0</v>
      </c>
      <c r="D74">
        <v>0</v>
      </c>
      <c r="E74">
        <v>0</v>
      </c>
      <c r="F74">
        <v>1</v>
      </c>
      <c r="G74">
        <v>6</v>
      </c>
      <c r="H74">
        <v>1</v>
      </c>
      <c r="I74">
        <v>0</v>
      </c>
      <c r="J74">
        <v>59231</v>
      </c>
      <c r="K74">
        <v>0</v>
      </c>
      <c r="L74">
        <v>3</v>
      </c>
      <c r="M74" t="s">
        <v>242</v>
      </c>
      <c r="N74" t="s">
        <v>391</v>
      </c>
      <c r="O74">
        <v>98052</v>
      </c>
      <c r="P74" t="s">
        <v>392</v>
      </c>
      <c r="Q74" t="s">
        <v>78</v>
      </c>
      <c r="R74" t="s">
        <v>50</v>
      </c>
      <c r="S74" t="s">
        <v>51</v>
      </c>
      <c r="T74" t="s">
        <v>131</v>
      </c>
      <c r="U74" t="s">
        <v>53</v>
      </c>
      <c r="V74" t="s">
        <v>150</v>
      </c>
      <c r="W74" s="1">
        <f t="shared" si="9"/>
        <v>40959</v>
      </c>
      <c r="Y74" t="s">
        <v>55</v>
      </c>
      <c r="Z74" t="s">
        <v>56</v>
      </c>
      <c r="AA74" t="s">
        <v>247</v>
      </c>
      <c r="AB74" t="s">
        <v>248</v>
      </c>
      <c r="AC74">
        <v>17</v>
      </c>
      <c r="AD74" t="s">
        <v>393</v>
      </c>
      <c r="AE74" t="s">
        <v>374</v>
      </c>
      <c r="AF74">
        <v>2.2999999999999998</v>
      </c>
      <c r="AG74">
        <v>1</v>
      </c>
      <c r="AH74">
        <v>0</v>
      </c>
      <c r="AI74" t="s">
        <v>394</v>
      </c>
      <c r="AJ74">
        <v>2</v>
      </c>
      <c r="AK74">
        <v>17</v>
      </c>
    </row>
    <row r="75" spans="1:37">
      <c r="A75" t="s">
        <v>395</v>
      </c>
      <c r="B75">
        <v>10284</v>
      </c>
      <c r="C75">
        <v>1</v>
      </c>
      <c r="D75">
        <v>1</v>
      </c>
      <c r="E75">
        <v>0</v>
      </c>
      <c r="F75">
        <v>1</v>
      </c>
      <c r="G75">
        <v>5</v>
      </c>
      <c r="H75">
        <v>2</v>
      </c>
      <c r="I75">
        <v>0</v>
      </c>
      <c r="J75">
        <v>61584</v>
      </c>
      <c r="K75">
        <v>0</v>
      </c>
      <c r="L75">
        <v>19</v>
      </c>
      <c r="M75" t="s">
        <v>46</v>
      </c>
      <c r="N75" t="s">
        <v>47</v>
      </c>
      <c r="O75">
        <v>2351</v>
      </c>
      <c r="P75" t="s">
        <v>396</v>
      </c>
      <c r="Q75" t="s">
        <v>78</v>
      </c>
      <c r="R75" t="s">
        <v>65</v>
      </c>
      <c r="S75" t="s">
        <v>51</v>
      </c>
      <c r="T75" t="s">
        <v>52</v>
      </c>
      <c r="U75" t="s">
        <v>118</v>
      </c>
      <c r="V75" t="s">
        <v>311</v>
      </c>
      <c r="W75" s="1">
        <f t="shared" si="9"/>
        <v>41281</v>
      </c>
      <c r="Y75" t="s">
        <v>55</v>
      </c>
      <c r="Z75" t="s">
        <v>56</v>
      </c>
      <c r="AA75" t="s">
        <v>57</v>
      </c>
      <c r="AB75" t="s">
        <v>120</v>
      </c>
      <c r="AC75">
        <v>12</v>
      </c>
      <c r="AD75" t="s">
        <v>72</v>
      </c>
      <c r="AE75" t="s">
        <v>197</v>
      </c>
      <c r="AF75">
        <v>3.88</v>
      </c>
      <c r="AG75">
        <v>4</v>
      </c>
      <c r="AH75">
        <v>0</v>
      </c>
      <c r="AI75" t="s">
        <v>397</v>
      </c>
      <c r="AJ75">
        <v>0</v>
      </c>
      <c r="AK75">
        <v>6</v>
      </c>
    </row>
    <row r="76" spans="1:37">
      <c r="A76" t="s">
        <v>398</v>
      </c>
      <c r="B76">
        <v>10207</v>
      </c>
      <c r="C76">
        <v>0</v>
      </c>
      <c r="D76">
        <v>0</v>
      </c>
      <c r="E76">
        <v>0</v>
      </c>
      <c r="F76">
        <v>1</v>
      </c>
      <c r="G76">
        <v>5</v>
      </c>
      <c r="H76">
        <v>3</v>
      </c>
      <c r="I76">
        <v>0</v>
      </c>
      <c r="J76">
        <v>46335</v>
      </c>
      <c r="K76">
        <v>0</v>
      </c>
      <c r="L76">
        <v>19</v>
      </c>
      <c r="M76" t="s">
        <v>46</v>
      </c>
      <c r="N76" t="s">
        <v>47</v>
      </c>
      <c r="O76">
        <v>2125</v>
      </c>
      <c r="P76" t="s">
        <v>399</v>
      </c>
      <c r="Q76" t="s">
        <v>78</v>
      </c>
      <c r="R76" t="s">
        <v>50</v>
      </c>
      <c r="S76" t="s">
        <v>51</v>
      </c>
      <c r="T76" t="s">
        <v>131</v>
      </c>
      <c r="U76" t="s">
        <v>53</v>
      </c>
      <c r="V76" t="s">
        <v>139</v>
      </c>
      <c r="W76" s="1">
        <f t="shared" si="9"/>
        <v>41001</v>
      </c>
      <c r="Y76" t="s">
        <v>55</v>
      </c>
      <c r="Z76" t="s">
        <v>56</v>
      </c>
      <c r="AA76" t="s">
        <v>57</v>
      </c>
      <c r="AB76" t="s">
        <v>135</v>
      </c>
      <c r="AC76">
        <v>14</v>
      </c>
      <c r="AD76" t="s">
        <v>196</v>
      </c>
      <c r="AE76" t="s">
        <v>73</v>
      </c>
      <c r="AF76">
        <v>3.4</v>
      </c>
      <c r="AG76">
        <v>5</v>
      </c>
      <c r="AH76">
        <v>0</v>
      </c>
      <c r="AI76" t="s">
        <v>286</v>
      </c>
      <c r="AJ76">
        <v>0</v>
      </c>
      <c r="AK76">
        <v>15</v>
      </c>
    </row>
    <row r="77" spans="1:37">
      <c r="A77" t="s">
        <v>400</v>
      </c>
      <c r="B77">
        <v>10133</v>
      </c>
      <c r="C77">
        <v>1</v>
      </c>
      <c r="D77">
        <v>1</v>
      </c>
      <c r="E77">
        <v>0</v>
      </c>
      <c r="F77">
        <v>1</v>
      </c>
      <c r="G77">
        <v>3</v>
      </c>
      <c r="H77">
        <v>3</v>
      </c>
      <c r="I77">
        <v>0</v>
      </c>
      <c r="J77">
        <v>70621</v>
      </c>
      <c r="K77">
        <v>0</v>
      </c>
      <c r="L77">
        <v>14</v>
      </c>
      <c r="M77" t="s">
        <v>124</v>
      </c>
      <c r="N77" t="s">
        <v>47</v>
      </c>
      <c r="O77">
        <v>2119</v>
      </c>
      <c r="P77" t="s">
        <v>401</v>
      </c>
      <c r="Q77" t="s">
        <v>78</v>
      </c>
      <c r="R77" t="s">
        <v>65</v>
      </c>
      <c r="S77" t="s">
        <v>51</v>
      </c>
      <c r="T77" t="s">
        <v>52</v>
      </c>
      <c r="U77" t="s">
        <v>53</v>
      </c>
      <c r="V77" t="s">
        <v>126</v>
      </c>
      <c r="W77" s="1">
        <f t="shared" si="9"/>
        <v>42009</v>
      </c>
      <c r="Y77" t="s">
        <v>55</v>
      </c>
      <c r="Z77" t="s">
        <v>56</v>
      </c>
      <c r="AA77" t="s">
        <v>70</v>
      </c>
      <c r="AB77" t="s">
        <v>127</v>
      </c>
      <c r="AC77">
        <v>7</v>
      </c>
      <c r="AD77" t="s">
        <v>114</v>
      </c>
      <c r="AE77" t="s">
        <v>73</v>
      </c>
      <c r="AF77">
        <v>4.1100000000000003</v>
      </c>
      <c r="AG77">
        <v>4</v>
      </c>
      <c r="AH77">
        <v>6</v>
      </c>
      <c r="AI77" t="s">
        <v>115</v>
      </c>
      <c r="AJ77">
        <v>0</v>
      </c>
      <c r="AK77">
        <v>16</v>
      </c>
    </row>
    <row r="78" spans="1:37">
      <c r="A78" t="s">
        <v>402</v>
      </c>
      <c r="B78">
        <v>10028</v>
      </c>
      <c r="C78">
        <v>0</v>
      </c>
      <c r="D78">
        <v>0</v>
      </c>
      <c r="E78">
        <v>1</v>
      </c>
      <c r="F78">
        <v>1</v>
      </c>
      <c r="G78">
        <v>3</v>
      </c>
      <c r="H78">
        <v>4</v>
      </c>
      <c r="I78">
        <v>0</v>
      </c>
      <c r="J78">
        <v>138888</v>
      </c>
      <c r="K78">
        <v>0</v>
      </c>
      <c r="L78">
        <v>13</v>
      </c>
      <c r="M78" t="s">
        <v>403</v>
      </c>
      <c r="N78" t="s">
        <v>47</v>
      </c>
      <c r="O78">
        <v>1886</v>
      </c>
      <c r="P78" t="s">
        <v>404</v>
      </c>
      <c r="Q78" t="s">
        <v>49</v>
      </c>
      <c r="R78" t="s">
        <v>50</v>
      </c>
      <c r="S78" t="s">
        <v>51</v>
      </c>
      <c r="T78" t="s">
        <v>52</v>
      </c>
      <c r="U78" t="s">
        <v>118</v>
      </c>
      <c r="V78" t="s">
        <v>405</v>
      </c>
      <c r="W78" s="1">
        <f t="shared" si="9"/>
        <v>41644</v>
      </c>
      <c r="Y78" t="s">
        <v>55</v>
      </c>
      <c r="Z78" t="s">
        <v>56</v>
      </c>
      <c r="AA78" t="s">
        <v>70</v>
      </c>
      <c r="AB78" t="s">
        <v>259</v>
      </c>
      <c r="AC78">
        <v>5</v>
      </c>
      <c r="AD78" t="s">
        <v>72</v>
      </c>
      <c r="AE78" t="s">
        <v>60</v>
      </c>
      <c r="AF78">
        <v>4.3</v>
      </c>
      <c r="AG78">
        <v>5</v>
      </c>
      <c r="AH78">
        <v>5</v>
      </c>
      <c r="AI78" t="s">
        <v>406</v>
      </c>
      <c r="AJ78">
        <v>0</v>
      </c>
      <c r="AK78">
        <v>4</v>
      </c>
    </row>
    <row r="79" spans="1:37">
      <c r="A79" t="s">
        <v>407</v>
      </c>
      <c r="B79">
        <v>10006</v>
      </c>
      <c r="C79">
        <v>0</v>
      </c>
      <c r="D79">
        <v>0</v>
      </c>
      <c r="E79">
        <v>0</v>
      </c>
      <c r="F79">
        <v>1</v>
      </c>
      <c r="G79">
        <v>6</v>
      </c>
      <c r="H79">
        <v>4</v>
      </c>
      <c r="I79">
        <v>0</v>
      </c>
      <c r="J79">
        <v>74241</v>
      </c>
      <c r="K79">
        <v>0</v>
      </c>
      <c r="L79">
        <v>3</v>
      </c>
      <c r="M79" t="s">
        <v>242</v>
      </c>
      <c r="N79" t="s">
        <v>408</v>
      </c>
      <c r="O79">
        <v>90007</v>
      </c>
      <c r="P79" t="s">
        <v>409</v>
      </c>
      <c r="Q79" t="s">
        <v>78</v>
      </c>
      <c r="R79" t="s">
        <v>50</v>
      </c>
      <c r="S79" t="s">
        <v>51</v>
      </c>
      <c r="T79" t="s">
        <v>52</v>
      </c>
      <c r="U79" t="s">
        <v>53</v>
      </c>
      <c r="V79" t="s">
        <v>132</v>
      </c>
      <c r="W79" s="1">
        <f t="shared" si="9"/>
        <v>40553</v>
      </c>
      <c r="Y79" t="s">
        <v>55</v>
      </c>
      <c r="Z79" t="s">
        <v>56</v>
      </c>
      <c r="AA79" t="s">
        <v>247</v>
      </c>
      <c r="AB79" t="s">
        <v>292</v>
      </c>
      <c r="AC79">
        <v>21</v>
      </c>
      <c r="AD79" t="s">
        <v>72</v>
      </c>
      <c r="AE79" t="s">
        <v>60</v>
      </c>
      <c r="AF79">
        <v>4.7699999999999996</v>
      </c>
      <c r="AG79">
        <v>5</v>
      </c>
      <c r="AH79">
        <v>0</v>
      </c>
      <c r="AI79" t="s">
        <v>410</v>
      </c>
      <c r="AJ79">
        <v>0</v>
      </c>
      <c r="AK79">
        <v>14</v>
      </c>
    </row>
    <row r="80" spans="1:37">
      <c r="A80" t="s">
        <v>411</v>
      </c>
      <c r="B80">
        <v>10105</v>
      </c>
      <c r="C80">
        <v>0</v>
      </c>
      <c r="D80">
        <v>0</v>
      </c>
      <c r="E80">
        <v>0</v>
      </c>
      <c r="F80">
        <v>1</v>
      </c>
      <c r="G80">
        <v>5</v>
      </c>
      <c r="H80">
        <v>3</v>
      </c>
      <c r="I80">
        <v>0</v>
      </c>
      <c r="J80">
        <v>75188</v>
      </c>
      <c r="K80">
        <v>0</v>
      </c>
      <c r="L80">
        <v>18</v>
      </c>
      <c r="M80" t="s">
        <v>217</v>
      </c>
      <c r="N80" t="s">
        <v>47</v>
      </c>
      <c r="O80">
        <v>1731</v>
      </c>
      <c r="P80" t="s">
        <v>412</v>
      </c>
      <c r="Q80" t="s">
        <v>78</v>
      </c>
      <c r="R80" t="s">
        <v>50</v>
      </c>
      <c r="S80" t="s">
        <v>51</v>
      </c>
      <c r="T80" t="s">
        <v>52</v>
      </c>
      <c r="U80" t="s">
        <v>53</v>
      </c>
      <c r="V80" t="s">
        <v>413</v>
      </c>
      <c r="W80" s="1">
        <f t="shared" si="9"/>
        <v>41900</v>
      </c>
      <c r="Y80" t="s">
        <v>55</v>
      </c>
      <c r="Z80" t="s">
        <v>56</v>
      </c>
      <c r="AA80" t="s">
        <v>57</v>
      </c>
      <c r="AB80" t="s">
        <v>221</v>
      </c>
      <c r="AC80">
        <v>2</v>
      </c>
      <c r="AD80" t="s">
        <v>95</v>
      </c>
      <c r="AE80" t="s">
        <v>73</v>
      </c>
      <c r="AF80">
        <v>4.5199999999999996</v>
      </c>
      <c r="AG80">
        <v>4</v>
      </c>
      <c r="AH80">
        <v>0</v>
      </c>
      <c r="AI80" t="s">
        <v>231</v>
      </c>
      <c r="AJ80">
        <v>0</v>
      </c>
      <c r="AK80">
        <v>4</v>
      </c>
    </row>
    <row r="81" spans="1:37">
      <c r="A81" t="s">
        <v>414</v>
      </c>
      <c r="B81">
        <v>10211</v>
      </c>
      <c r="C81">
        <v>1</v>
      </c>
      <c r="D81">
        <v>1</v>
      </c>
      <c r="E81">
        <v>0</v>
      </c>
      <c r="F81">
        <v>1</v>
      </c>
      <c r="G81">
        <v>5</v>
      </c>
      <c r="H81">
        <v>3</v>
      </c>
      <c r="I81">
        <v>0</v>
      </c>
      <c r="J81">
        <v>62514</v>
      </c>
      <c r="K81">
        <v>0</v>
      </c>
      <c r="L81">
        <v>19</v>
      </c>
      <c r="M81" t="s">
        <v>46</v>
      </c>
      <c r="N81" t="s">
        <v>47</v>
      </c>
      <c r="O81">
        <v>1749</v>
      </c>
      <c r="P81" t="s">
        <v>415</v>
      </c>
      <c r="Q81" t="s">
        <v>78</v>
      </c>
      <c r="R81" t="s">
        <v>65</v>
      </c>
      <c r="S81" t="s">
        <v>51</v>
      </c>
      <c r="T81" t="s">
        <v>52</v>
      </c>
      <c r="U81" t="s">
        <v>53</v>
      </c>
      <c r="V81" t="s">
        <v>416</v>
      </c>
      <c r="W81" s="1">
        <f t="shared" si="9"/>
        <v>40294</v>
      </c>
      <c r="Y81" t="s">
        <v>55</v>
      </c>
      <c r="Z81" t="s">
        <v>56</v>
      </c>
      <c r="AA81" t="s">
        <v>57</v>
      </c>
      <c r="AB81" t="s">
        <v>113</v>
      </c>
      <c r="AC81">
        <v>19</v>
      </c>
      <c r="AD81" t="s">
        <v>95</v>
      </c>
      <c r="AE81" t="s">
        <v>73</v>
      </c>
      <c r="AF81">
        <v>2.9</v>
      </c>
      <c r="AG81">
        <v>3</v>
      </c>
      <c r="AH81">
        <v>0</v>
      </c>
      <c r="AI81" t="s">
        <v>240</v>
      </c>
      <c r="AJ81">
        <v>0</v>
      </c>
      <c r="AK81">
        <v>6</v>
      </c>
    </row>
    <row r="82" spans="1:37">
      <c r="A82" t="s">
        <v>417</v>
      </c>
      <c r="B82">
        <v>10064</v>
      </c>
      <c r="C82">
        <v>1</v>
      </c>
      <c r="D82">
        <v>1</v>
      </c>
      <c r="E82">
        <v>0</v>
      </c>
      <c r="F82">
        <v>5</v>
      </c>
      <c r="G82">
        <v>5</v>
      </c>
      <c r="H82">
        <v>3</v>
      </c>
      <c r="I82">
        <v>0</v>
      </c>
      <c r="J82">
        <v>60070</v>
      </c>
      <c r="K82">
        <v>1</v>
      </c>
      <c r="L82">
        <v>19</v>
      </c>
      <c r="M82" t="s">
        <v>46</v>
      </c>
      <c r="N82" t="s">
        <v>47</v>
      </c>
      <c r="O82">
        <v>2343</v>
      </c>
      <c r="P82" t="s">
        <v>418</v>
      </c>
      <c r="Q82" t="s">
        <v>78</v>
      </c>
      <c r="R82" t="s">
        <v>65</v>
      </c>
      <c r="S82" t="s">
        <v>51</v>
      </c>
      <c r="T82" t="s">
        <v>52</v>
      </c>
      <c r="U82" t="s">
        <v>53</v>
      </c>
      <c r="V82" t="s">
        <v>172</v>
      </c>
      <c r="W82" s="1">
        <f t="shared" si="9"/>
        <v>40637</v>
      </c>
      <c r="X82" t="s">
        <v>419</v>
      </c>
      <c r="Y82" t="s">
        <v>420</v>
      </c>
      <c r="Z82" t="s">
        <v>69</v>
      </c>
      <c r="AA82" t="s">
        <v>57</v>
      </c>
      <c r="AB82" t="s">
        <v>81</v>
      </c>
      <c r="AC82">
        <v>20</v>
      </c>
      <c r="AD82" t="s">
        <v>95</v>
      </c>
      <c r="AE82" t="s">
        <v>73</v>
      </c>
      <c r="AF82">
        <v>5</v>
      </c>
      <c r="AG82">
        <v>3</v>
      </c>
      <c r="AH82">
        <v>0</v>
      </c>
      <c r="AI82" t="s">
        <v>421</v>
      </c>
      <c r="AJ82">
        <v>0</v>
      </c>
      <c r="AK82">
        <v>7</v>
      </c>
    </row>
    <row r="83" spans="1:37">
      <c r="A83" t="s">
        <v>422</v>
      </c>
      <c r="B83">
        <v>10247</v>
      </c>
      <c r="C83">
        <v>0</v>
      </c>
      <c r="D83">
        <v>0</v>
      </c>
      <c r="E83">
        <v>1</v>
      </c>
      <c r="F83">
        <v>1</v>
      </c>
      <c r="G83">
        <v>5</v>
      </c>
      <c r="H83">
        <v>3</v>
      </c>
      <c r="I83">
        <v>0</v>
      </c>
      <c r="J83">
        <v>48888</v>
      </c>
      <c r="K83">
        <v>0</v>
      </c>
      <c r="L83">
        <v>19</v>
      </c>
      <c r="M83" t="s">
        <v>46</v>
      </c>
      <c r="N83" t="s">
        <v>47</v>
      </c>
      <c r="O83">
        <v>2026</v>
      </c>
      <c r="P83" t="s">
        <v>423</v>
      </c>
      <c r="Q83" t="s">
        <v>49</v>
      </c>
      <c r="R83" t="s">
        <v>50</v>
      </c>
      <c r="S83" t="s">
        <v>51</v>
      </c>
      <c r="T83" t="s">
        <v>52</v>
      </c>
      <c r="U83" t="s">
        <v>53</v>
      </c>
      <c r="V83" t="s">
        <v>105</v>
      </c>
      <c r="W83" s="1">
        <f t="shared" si="9"/>
        <v>41953</v>
      </c>
      <c r="Y83" t="s">
        <v>55</v>
      </c>
      <c r="Z83" t="s">
        <v>56</v>
      </c>
      <c r="AA83" t="s">
        <v>57</v>
      </c>
      <c r="AB83" t="s">
        <v>151</v>
      </c>
      <c r="AC83">
        <v>18</v>
      </c>
      <c r="AD83" t="s">
        <v>59</v>
      </c>
      <c r="AE83" t="s">
        <v>73</v>
      </c>
      <c r="AF83">
        <v>4.7</v>
      </c>
      <c r="AG83">
        <v>5</v>
      </c>
      <c r="AH83">
        <v>0</v>
      </c>
      <c r="AI83" t="s">
        <v>424</v>
      </c>
      <c r="AJ83">
        <v>0</v>
      </c>
      <c r="AK83">
        <v>8</v>
      </c>
    </row>
    <row r="84" spans="1:37">
      <c r="A84" t="s">
        <v>425</v>
      </c>
      <c r="B84">
        <v>10235</v>
      </c>
      <c r="C84">
        <v>1</v>
      </c>
      <c r="D84">
        <v>1</v>
      </c>
      <c r="E84">
        <v>1</v>
      </c>
      <c r="F84">
        <v>1</v>
      </c>
      <c r="G84">
        <v>5</v>
      </c>
      <c r="H84">
        <v>3</v>
      </c>
      <c r="I84">
        <v>0</v>
      </c>
      <c r="J84">
        <v>54285</v>
      </c>
      <c r="K84">
        <v>0</v>
      </c>
      <c r="L84">
        <v>19</v>
      </c>
      <c r="M84" t="s">
        <v>46</v>
      </c>
      <c r="N84" t="s">
        <v>47</v>
      </c>
      <c r="O84">
        <v>2045</v>
      </c>
      <c r="P84" t="s">
        <v>426</v>
      </c>
      <c r="Q84" t="s">
        <v>49</v>
      </c>
      <c r="R84" t="s">
        <v>65</v>
      </c>
      <c r="S84" t="s">
        <v>51</v>
      </c>
      <c r="T84" t="s">
        <v>52</v>
      </c>
      <c r="U84" t="s">
        <v>53</v>
      </c>
      <c r="V84" t="s">
        <v>269</v>
      </c>
      <c r="W84" s="1">
        <f t="shared" si="9"/>
        <v>41729</v>
      </c>
      <c r="Y84" t="s">
        <v>55</v>
      </c>
      <c r="Z84" t="s">
        <v>56</v>
      </c>
      <c r="AA84" t="s">
        <v>57</v>
      </c>
      <c r="AB84" t="s">
        <v>151</v>
      </c>
      <c r="AC84">
        <v>18</v>
      </c>
      <c r="AD84" t="s">
        <v>114</v>
      </c>
      <c r="AE84" t="s">
        <v>73</v>
      </c>
      <c r="AF84">
        <v>4.2</v>
      </c>
      <c r="AG84">
        <v>3</v>
      </c>
      <c r="AH84">
        <v>0</v>
      </c>
      <c r="AI84" t="s">
        <v>184</v>
      </c>
      <c r="AJ84">
        <v>0</v>
      </c>
      <c r="AK84">
        <v>3</v>
      </c>
    </row>
    <row r="85" spans="1:37">
      <c r="A85" t="s">
        <v>427</v>
      </c>
      <c r="B85">
        <v>10299</v>
      </c>
      <c r="C85">
        <v>0</v>
      </c>
      <c r="D85">
        <v>3</v>
      </c>
      <c r="E85">
        <v>0</v>
      </c>
      <c r="F85">
        <v>1</v>
      </c>
      <c r="G85">
        <v>5</v>
      </c>
      <c r="H85">
        <v>1</v>
      </c>
      <c r="I85">
        <v>0</v>
      </c>
      <c r="J85">
        <v>56847</v>
      </c>
      <c r="K85">
        <v>0</v>
      </c>
      <c r="L85">
        <v>20</v>
      </c>
      <c r="M85" t="s">
        <v>76</v>
      </c>
      <c r="N85" t="s">
        <v>47</v>
      </c>
      <c r="O85">
        <v>2133</v>
      </c>
      <c r="P85" t="s">
        <v>428</v>
      </c>
      <c r="Q85" t="s">
        <v>78</v>
      </c>
      <c r="R85" t="s">
        <v>238</v>
      </c>
      <c r="S85" t="s">
        <v>51</v>
      </c>
      <c r="T85" t="s">
        <v>52</v>
      </c>
      <c r="U85" t="s">
        <v>53</v>
      </c>
      <c r="V85" t="s">
        <v>176</v>
      </c>
      <c r="W85" s="1">
        <f t="shared" si="9"/>
        <v>41827</v>
      </c>
      <c r="Y85" t="s">
        <v>55</v>
      </c>
      <c r="Z85" t="s">
        <v>56</v>
      </c>
      <c r="AA85" t="s">
        <v>57</v>
      </c>
      <c r="AB85" t="s">
        <v>58</v>
      </c>
      <c r="AC85">
        <v>22</v>
      </c>
      <c r="AD85" t="s">
        <v>72</v>
      </c>
      <c r="AE85" t="s">
        <v>374</v>
      </c>
      <c r="AF85">
        <v>3</v>
      </c>
      <c r="AG85">
        <v>1</v>
      </c>
      <c r="AH85">
        <v>0</v>
      </c>
      <c r="AI85" t="s">
        <v>115</v>
      </c>
      <c r="AJ85">
        <v>2</v>
      </c>
      <c r="AK85">
        <v>5</v>
      </c>
    </row>
    <row r="86" spans="1:37">
      <c r="A86" t="s">
        <v>429</v>
      </c>
      <c r="B86">
        <v>10280</v>
      </c>
      <c r="C86">
        <v>0</v>
      </c>
      <c r="D86">
        <v>0</v>
      </c>
      <c r="E86">
        <v>1</v>
      </c>
      <c r="F86">
        <v>4</v>
      </c>
      <c r="G86">
        <v>5</v>
      </c>
      <c r="H86">
        <v>2</v>
      </c>
      <c r="I86">
        <v>0</v>
      </c>
      <c r="J86">
        <v>60340</v>
      </c>
      <c r="K86">
        <v>1</v>
      </c>
      <c r="L86">
        <v>19</v>
      </c>
      <c r="M86" t="s">
        <v>46</v>
      </c>
      <c r="N86" t="s">
        <v>47</v>
      </c>
      <c r="O86">
        <v>2129</v>
      </c>
      <c r="P86" t="s">
        <v>430</v>
      </c>
      <c r="Q86" t="s">
        <v>49</v>
      </c>
      <c r="R86" t="s">
        <v>50</v>
      </c>
      <c r="S86" t="s">
        <v>51</v>
      </c>
      <c r="T86" t="s">
        <v>52</v>
      </c>
      <c r="U86" t="s">
        <v>53</v>
      </c>
      <c r="V86" t="s">
        <v>139</v>
      </c>
      <c r="W86" s="1">
        <f t="shared" si="9"/>
        <v>41001</v>
      </c>
      <c r="X86" t="s">
        <v>431</v>
      </c>
      <c r="Y86" t="s">
        <v>162</v>
      </c>
      <c r="Z86" t="s">
        <v>163</v>
      </c>
      <c r="AA86" t="s">
        <v>57</v>
      </c>
      <c r="AB86" t="s">
        <v>58</v>
      </c>
      <c r="AC86">
        <v>22</v>
      </c>
      <c r="AD86" t="s">
        <v>95</v>
      </c>
      <c r="AE86" t="s">
        <v>197</v>
      </c>
      <c r="AF86">
        <v>5</v>
      </c>
      <c r="AG86">
        <v>4</v>
      </c>
      <c r="AH86">
        <v>0</v>
      </c>
      <c r="AI86" t="s">
        <v>432</v>
      </c>
      <c r="AJ86">
        <v>5</v>
      </c>
      <c r="AK86">
        <v>16</v>
      </c>
    </row>
    <row r="87" spans="1:37">
      <c r="A87" t="s">
        <v>433</v>
      </c>
      <c r="B87">
        <v>10296</v>
      </c>
      <c r="C87">
        <v>0</v>
      </c>
      <c r="D87">
        <v>0</v>
      </c>
      <c r="E87">
        <v>0</v>
      </c>
      <c r="F87">
        <v>4</v>
      </c>
      <c r="G87">
        <v>5</v>
      </c>
      <c r="H87">
        <v>2</v>
      </c>
      <c r="I87">
        <v>0</v>
      </c>
      <c r="J87">
        <v>59124</v>
      </c>
      <c r="K87">
        <v>1</v>
      </c>
      <c r="L87">
        <v>19</v>
      </c>
      <c r="M87" t="s">
        <v>46</v>
      </c>
      <c r="N87" t="s">
        <v>47</v>
      </c>
      <c r="O87">
        <v>2458</v>
      </c>
      <c r="P87" t="s">
        <v>434</v>
      </c>
      <c r="Q87" t="s">
        <v>78</v>
      </c>
      <c r="R87" t="s">
        <v>50</v>
      </c>
      <c r="S87" t="s">
        <v>51</v>
      </c>
      <c r="T87" t="s">
        <v>52</v>
      </c>
      <c r="U87" t="s">
        <v>53</v>
      </c>
      <c r="V87" t="s">
        <v>206</v>
      </c>
      <c r="W87" s="1">
        <f t="shared" si="9"/>
        <v>41687</v>
      </c>
      <c r="X87" t="s">
        <v>435</v>
      </c>
      <c r="Y87" t="s">
        <v>436</v>
      </c>
      <c r="Z87" t="s">
        <v>163</v>
      </c>
      <c r="AA87" t="s">
        <v>57</v>
      </c>
      <c r="AB87" t="s">
        <v>86</v>
      </c>
      <c r="AC87">
        <v>16</v>
      </c>
      <c r="AD87" t="s">
        <v>95</v>
      </c>
      <c r="AE87" t="s">
        <v>197</v>
      </c>
      <c r="AF87">
        <v>2.2999999999999998</v>
      </c>
      <c r="AG87">
        <v>3</v>
      </c>
      <c r="AH87">
        <v>0</v>
      </c>
      <c r="AI87" t="s">
        <v>437</v>
      </c>
      <c r="AJ87">
        <v>5</v>
      </c>
      <c r="AK87">
        <v>19</v>
      </c>
    </row>
    <row r="88" spans="1:37">
      <c r="A88" t="s">
        <v>438</v>
      </c>
      <c r="B88">
        <v>10290</v>
      </c>
      <c r="C88">
        <v>1</v>
      </c>
      <c r="D88">
        <v>1</v>
      </c>
      <c r="E88">
        <v>0</v>
      </c>
      <c r="F88">
        <v>4</v>
      </c>
      <c r="G88">
        <v>4</v>
      </c>
      <c r="H88">
        <v>2</v>
      </c>
      <c r="I88">
        <v>0</v>
      </c>
      <c r="J88">
        <v>99280</v>
      </c>
      <c r="K88">
        <v>1</v>
      </c>
      <c r="L88">
        <v>24</v>
      </c>
      <c r="M88" t="s">
        <v>103</v>
      </c>
      <c r="N88" t="s">
        <v>47</v>
      </c>
      <c r="O88">
        <v>1749</v>
      </c>
      <c r="P88" t="s">
        <v>439</v>
      </c>
      <c r="Q88" t="s">
        <v>78</v>
      </c>
      <c r="R88" t="s">
        <v>65</v>
      </c>
      <c r="S88" t="s">
        <v>51</v>
      </c>
      <c r="T88" t="s">
        <v>52</v>
      </c>
      <c r="U88" t="s">
        <v>118</v>
      </c>
      <c r="V88" t="s">
        <v>440</v>
      </c>
      <c r="W88" s="1">
        <f t="shared" si="9"/>
        <v>40665</v>
      </c>
      <c r="X88" t="s">
        <v>441</v>
      </c>
      <c r="Y88" t="s">
        <v>162</v>
      </c>
      <c r="Z88" t="s">
        <v>163</v>
      </c>
      <c r="AA88" t="s">
        <v>106</v>
      </c>
      <c r="AB88" t="s">
        <v>107</v>
      </c>
      <c r="AC88">
        <v>10</v>
      </c>
      <c r="AD88" t="s">
        <v>72</v>
      </c>
      <c r="AE88" t="s">
        <v>197</v>
      </c>
      <c r="AF88">
        <v>2.1</v>
      </c>
      <c r="AG88">
        <v>5</v>
      </c>
      <c r="AH88">
        <v>4</v>
      </c>
      <c r="AI88" t="s">
        <v>442</v>
      </c>
      <c r="AJ88">
        <v>4</v>
      </c>
      <c r="AK88">
        <v>19</v>
      </c>
    </row>
    <row r="89" spans="1:37">
      <c r="A89" t="s">
        <v>443</v>
      </c>
      <c r="B89">
        <v>10263</v>
      </c>
      <c r="C89">
        <v>1</v>
      </c>
      <c r="D89">
        <v>1</v>
      </c>
      <c r="E89">
        <v>0</v>
      </c>
      <c r="F89">
        <v>1</v>
      </c>
      <c r="G89">
        <v>5</v>
      </c>
      <c r="H89">
        <v>3</v>
      </c>
      <c r="I89">
        <v>0</v>
      </c>
      <c r="J89">
        <v>71776</v>
      </c>
      <c r="K89">
        <v>0</v>
      </c>
      <c r="L89">
        <v>20</v>
      </c>
      <c r="M89" t="s">
        <v>76</v>
      </c>
      <c r="N89" t="s">
        <v>47</v>
      </c>
      <c r="O89">
        <v>1824</v>
      </c>
      <c r="P89" t="s">
        <v>444</v>
      </c>
      <c r="Q89" t="s">
        <v>78</v>
      </c>
      <c r="R89" t="s">
        <v>65</v>
      </c>
      <c r="S89" t="s">
        <v>51</v>
      </c>
      <c r="T89" t="s">
        <v>52</v>
      </c>
      <c r="U89" t="s">
        <v>118</v>
      </c>
      <c r="V89" t="s">
        <v>176</v>
      </c>
      <c r="W89" s="1">
        <f t="shared" si="9"/>
        <v>41827</v>
      </c>
      <c r="Y89" t="s">
        <v>55</v>
      </c>
      <c r="Z89" t="s">
        <v>56</v>
      </c>
      <c r="AA89" t="s">
        <v>57</v>
      </c>
      <c r="AB89" t="s">
        <v>86</v>
      </c>
      <c r="AC89">
        <v>16</v>
      </c>
      <c r="AD89" t="s">
        <v>59</v>
      </c>
      <c r="AE89" t="s">
        <v>73</v>
      </c>
      <c r="AF89">
        <v>4.4000000000000004</v>
      </c>
      <c r="AG89">
        <v>5</v>
      </c>
      <c r="AH89">
        <v>0</v>
      </c>
      <c r="AI89" t="s">
        <v>263</v>
      </c>
      <c r="AJ89">
        <v>0</v>
      </c>
      <c r="AK89">
        <v>17</v>
      </c>
    </row>
    <row r="90" spans="1:37">
      <c r="A90" t="s">
        <v>445</v>
      </c>
      <c r="B90">
        <v>10136</v>
      </c>
      <c r="C90">
        <v>0</v>
      </c>
      <c r="D90">
        <v>0</v>
      </c>
      <c r="E90">
        <v>0</v>
      </c>
      <c r="F90">
        <v>1</v>
      </c>
      <c r="G90">
        <v>5</v>
      </c>
      <c r="H90">
        <v>3</v>
      </c>
      <c r="I90">
        <v>0</v>
      </c>
      <c r="J90">
        <v>65902</v>
      </c>
      <c r="K90">
        <v>0</v>
      </c>
      <c r="L90">
        <v>20</v>
      </c>
      <c r="M90" t="s">
        <v>76</v>
      </c>
      <c r="N90" t="s">
        <v>47</v>
      </c>
      <c r="O90">
        <v>2324</v>
      </c>
      <c r="P90" t="s">
        <v>446</v>
      </c>
      <c r="Q90" t="s">
        <v>78</v>
      </c>
      <c r="R90" t="s">
        <v>50</v>
      </c>
      <c r="S90" t="s">
        <v>51</v>
      </c>
      <c r="T90" t="s">
        <v>52</v>
      </c>
      <c r="U90" t="s">
        <v>118</v>
      </c>
      <c r="V90" t="s">
        <v>206</v>
      </c>
      <c r="W90" s="1">
        <f t="shared" si="9"/>
        <v>41687</v>
      </c>
      <c r="Y90" t="s">
        <v>55</v>
      </c>
      <c r="Z90" t="s">
        <v>56</v>
      </c>
      <c r="AA90" t="s">
        <v>57</v>
      </c>
      <c r="AB90" t="s">
        <v>94</v>
      </c>
      <c r="AD90" t="s">
        <v>59</v>
      </c>
      <c r="AE90" t="s">
        <v>73</v>
      </c>
      <c r="AF90">
        <v>4</v>
      </c>
      <c r="AG90">
        <v>4</v>
      </c>
      <c r="AH90">
        <v>0</v>
      </c>
      <c r="AI90" t="s">
        <v>101</v>
      </c>
      <c r="AJ90">
        <v>0</v>
      </c>
      <c r="AK90">
        <v>7</v>
      </c>
    </row>
    <row r="91" spans="1:37">
      <c r="A91" t="s">
        <v>447</v>
      </c>
      <c r="B91">
        <v>10189</v>
      </c>
      <c r="C91">
        <v>1</v>
      </c>
      <c r="D91">
        <v>1</v>
      </c>
      <c r="E91">
        <v>0</v>
      </c>
      <c r="F91">
        <v>5</v>
      </c>
      <c r="G91">
        <v>5</v>
      </c>
      <c r="H91">
        <v>3</v>
      </c>
      <c r="I91">
        <v>0</v>
      </c>
      <c r="J91">
        <v>57748</v>
      </c>
      <c r="K91">
        <v>1</v>
      </c>
      <c r="L91">
        <v>19</v>
      </c>
      <c r="M91" t="s">
        <v>46</v>
      </c>
      <c r="N91" t="s">
        <v>47</v>
      </c>
      <c r="O91">
        <v>2176</v>
      </c>
      <c r="P91" t="s">
        <v>448</v>
      </c>
      <c r="Q91" t="s">
        <v>78</v>
      </c>
      <c r="R91" t="s">
        <v>65</v>
      </c>
      <c r="S91" t="s">
        <v>51</v>
      </c>
      <c r="T91" t="s">
        <v>52</v>
      </c>
      <c r="U91" t="s">
        <v>53</v>
      </c>
      <c r="V91" t="s">
        <v>360</v>
      </c>
      <c r="W91" s="1">
        <f t="shared" si="9"/>
        <v>40854</v>
      </c>
      <c r="X91" t="s">
        <v>449</v>
      </c>
      <c r="Y91" t="s">
        <v>420</v>
      </c>
      <c r="Z91" t="s">
        <v>69</v>
      </c>
      <c r="AA91" t="s">
        <v>57</v>
      </c>
      <c r="AB91" t="s">
        <v>94</v>
      </c>
      <c r="AC91">
        <v>39</v>
      </c>
      <c r="AD91" t="s">
        <v>95</v>
      </c>
      <c r="AE91" t="s">
        <v>73</v>
      </c>
      <c r="AF91">
        <v>3.13</v>
      </c>
      <c r="AG91">
        <v>3</v>
      </c>
      <c r="AH91">
        <v>0</v>
      </c>
      <c r="AI91" t="s">
        <v>450</v>
      </c>
      <c r="AJ91">
        <v>0</v>
      </c>
      <c r="AK91">
        <v>16</v>
      </c>
    </row>
    <row r="92" spans="1:37">
      <c r="A92" t="s">
        <v>451</v>
      </c>
      <c r="B92">
        <v>10308</v>
      </c>
      <c r="C92">
        <v>1</v>
      </c>
      <c r="D92">
        <v>1</v>
      </c>
      <c r="E92">
        <v>1</v>
      </c>
      <c r="F92">
        <v>1</v>
      </c>
      <c r="G92">
        <v>5</v>
      </c>
      <c r="H92">
        <v>1</v>
      </c>
      <c r="I92">
        <v>0</v>
      </c>
      <c r="J92">
        <v>64057</v>
      </c>
      <c r="K92">
        <v>0</v>
      </c>
      <c r="L92">
        <v>19</v>
      </c>
      <c r="M92" t="s">
        <v>46</v>
      </c>
      <c r="N92" t="s">
        <v>47</v>
      </c>
      <c r="O92">
        <v>2132</v>
      </c>
      <c r="P92" t="s">
        <v>452</v>
      </c>
      <c r="Q92" t="s">
        <v>49</v>
      </c>
      <c r="R92" t="s">
        <v>65</v>
      </c>
      <c r="S92" t="s">
        <v>51</v>
      </c>
      <c r="T92" t="s">
        <v>52</v>
      </c>
      <c r="U92" t="s">
        <v>53</v>
      </c>
      <c r="V92" t="s">
        <v>453</v>
      </c>
      <c r="W92" s="1">
        <f t="shared" si="9"/>
        <v>42135</v>
      </c>
      <c r="Y92" t="s">
        <v>55</v>
      </c>
      <c r="Z92" t="s">
        <v>56</v>
      </c>
      <c r="AA92" t="s">
        <v>57</v>
      </c>
      <c r="AB92" t="s">
        <v>100</v>
      </c>
      <c r="AC92">
        <v>11</v>
      </c>
      <c r="AD92" t="s">
        <v>72</v>
      </c>
      <c r="AE92" t="s">
        <v>374</v>
      </c>
      <c r="AF92">
        <v>1.56</v>
      </c>
      <c r="AG92">
        <v>5</v>
      </c>
      <c r="AH92">
        <v>0</v>
      </c>
      <c r="AI92" t="s">
        <v>87</v>
      </c>
      <c r="AJ92">
        <v>6</v>
      </c>
      <c r="AK92">
        <v>15</v>
      </c>
    </row>
    <row r="93" spans="1:37">
      <c r="A93" t="s">
        <v>454</v>
      </c>
      <c r="B93">
        <v>10309</v>
      </c>
      <c r="C93">
        <v>0</v>
      </c>
      <c r="D93">
        <v>0</v>
      </c>
      <c r="E93">
        <v>1</v>
      </c>
      <c r="F93">
        <v>1</v>
      </c>
      <c r="G93">
        <v>3</v>
      </c>
      <c r="H93">
        <v>1</v>
      </c>
      <c r="I93">
        <v>0</v>
      </c>
      <c r="J93">
        <v>53366</v>
      </c>
      <c r="K93">
        <v>0</v>
      </c>
      <c r="L93">
        <v>15</v>
      </c>
      <c r="M93" t="s">
        <v>455</v>
      </c>
      <c r="N93" t="s">
        <v>47</v>
      </c>
      <c r="O93">
        <v>2138</v>
      </c>
      <c r="P93" t="s">
        <v>456</v>
      </c>
      <c r="Q93" t="s">
        <v>49</v>
      </c>
      <c r="R93" t="s">
        <v>50</v>
      </c>
      <c r="S93" t="s">
        <v>51</v>
      </c>
      <c r="T93" t="s">
        <v>52</v>
      </c>
      <c r="U93" t="s">
        <v>53</v>
      </c>
      <c r="V93" t="s">
        <v>66</v>
      </c>
      <c r="W93" s="1">
        <f t="shared" si="9"/>
        <v>42093</v>
      </c>
      <c r="Y93" t="s">
        <v>55</v>
      </c>
      <c r="Z93" t="s">
        <v>56</v>
      </c>
      <c r="AA93" t="s">
        <v>70</v>
      </c>
      <c r="AB93" t="s">
        <v>127</v>
      </c>
      <c r="AC93">
        <v>7</v>
      </c>
      <c r="AD93" t="s">
        <v>59</v>
      </c>
      <c r="AE93" t="s">
        <v>374</v>
      </c>
      <c r="AF93">
        <v>1.2</v>
      </c>
      <c r="AG93">
        <v>3</v>
      </c>
      <c r="AH93">
        <v>6</v>
      </c>
      <c r="AI93" t="s">
        <v>335</v>
      </c>
      <c r="AJ93">
        <v>3</v>
      </c>
      <c r="AK93">
        <v>2</v>
      </c>
    </row>
    <row r="94" spans="1:37">
      <c r="A94" t="s">
        <v>457</v>
      </c>
      <c r="B94">
        <v>10049</v>
      </c>
      <c r="C94">
        <v>1</v>
      </c>
      <c r="D94">
        <v>1</v>
      </c>
      <c r="E94">
        <v>0</v>
      </c>
      <c r="F94">
        <v>1</v>
      </c>
      <c r="G94">
        <v>5</v>
      </c>
      <c r="H94">
        <v>3</v>
      </c>
      <c r="I94">
        <v>0</v>
      </c>
      <c r="J94">
        <v>58530</v>
      </c>
      <c r="K94">
        <v>0</v>
      </c>
      <c r="L94">
        <v>19</v>
      </c>
      <c r="M94" t="s">
        <v>46</v>
      </c>
      <c r="N94" t="s">
        <v>47</v>
      </c>
      <c r="O94">
        <v>2155</v>
      </c>
      <c r="P94" t="s">
        <v>458</v>
      </c>
      <c r="Q94" t="s">
        <v>78</v>
      </c>
      <c r="R94" t="s">
        <v>65</v>
      </c>
      <c r="S94" t="s">
        <v>51</v>
      </c>
      <c r="T94" t="s">
        <v>52</v>
      </c>
      <c r="U94" t="s">
        <v>53</v>
      </c>
      <c r="V94" t="s">
        <v>99</v>
      </c>
      <c r="W94" s="1">
        <f t="shared" si="9"/>
        <v>40917</v>
      </c>
      <c r="Y94" t="s">
        <v>55</v>
      </c>
      <c r="Z94" t="s">
        <v>56</v>
      </c>
      <c r="AA94" t="s">
        <v>57</v>
      </c>
      <c r="AB94" t="s">
        <v>120</v>
      </c>
      <c r="AC94">
        <v>12</v>
      </c>
      <c r="AD94" t="s">
        <v>95</v>
      </c>
      <c r="AE94" t="s">
        <v>73</v>
      </c>
      <c r="AF94">
        <v>5</v>
      </c>
      <c r="AG94">
        <v>5</v>
      </c>
      <c r="AH94">
        <v>0</v>
      </c>
      <c r="AI94" t="s">
        <v>394</v>
      </c>
      <c r="AJ94">
        <v>0</v>
      </c>
      <c r="AK94">
        <v>19</v>
      </c>
    </row>
    <row r="95" spans="1:37">
      <c r="A95" t="s">
        <v>459</v>
      </c>
      <c r="B95">
        <v>10093</v>
      </c>
      <c r="C95">
        <v>0</v>
      </c>
      <c r="D95">
        <v>0</v>
      </c>
      <c r="E95">
        <v>1</v>
      </c>
      <c r="F95">
        <v>5</v>
      </c>
      <c r="G95">
        <v>5</v>
      </c>
      <c r="H95">
        <v>3</v>
      </c>
      <c r="I95">
        <v>0</v>
      </c>
      <c r="J95">
        <v>72609</v>
      </c>
      <c r="K95">
        <v>1</v>
      </c>
      <c r="L95">
        <v>20</v>
      </c>
      <c r="M95" t="s">
        <v>76</v>
      </c>
      <c r="N95" t="s">
        <v>47</v>
      </c>
      <c r="O95">
        <v>2143</v>
      </c>
      <c r="P95" t="s">
        <v>460</v>
      </c>
      <c r="Q95" t="s">
        <v>49</v>
      </c>
      <c r="R95" t="s">
        <v>50</v>
      </c>
      <c r="S95" t="s">
        <v>51</v>
      </c>
      <c r="T95" t="s">
        <v>131</v>
      </c>
      <c r="U95" t="s">
        <v>53</v>
      </c>
      <c r="V95" t="s">
        <v>310</v>
      </c>
      <c r="W95" s="1">
        <f t="shared" si="9"/>
        <v>40679</v>
      </c>
      <c r="X95" t="s">
        <v>461</v>
      </c>
      <c r="Y95" t="s">
        <v>80</v>
      </c>
      <c r="Z95" t="s">
        <v>69</v>
      </c>
      <c r="AA95" t="s">
        <v>57</v>
      </c>
      <c r="AB95" t="s">
        <v>100</v>
      </c>
      <c r="AC95">
        <v>11</v>
      </c>
      <c r="AD95" t="s">
        <v>95</v>
      </c>
      <c r="AE95" t="s">
        <v>73</v>
      </c>
      <c r="AF95">
        <v>4.76</v>
      </c>
      <c r="AG95">
        <v>5</v>
      </c>
      <c r="AH95">
        <v>0</v>
      </c>
      <c r="AI95" t="s">
        <v>462</v>
      </c>
      <c r="AJ95">
        <v>0</v>
      </c>
      <c r="AK95">
        <v>20</v>
      </c>
    </row>
    <row r="96" spans="1:37">
      <c r="A96" t="s">
        <v>463</v>
      </c>
      <c r="B96">
        <v>10163</v>
      </c>
      <c r="C96">
        <v>1</v>
      </c>
      <c r="D96">
        <v>1</v>
      </c>
      <c r="E96">
        <v>0</v>
      </c>
      <c r="F96">
        <v>5</v>
      </c>
      <c r="G96">
        <v>5</v>
      </c>
      <c r="H96">
        <v>3</v>
      </c>
      <c r="I96">
        <v>0</v>
      </c>
      <c r="J96">
        <v>55965</v>
      </c>
      <c r="K96">
        <v>1</v>
      </c>
      <c r="L96">
        <v>20</v>
      </c>
      <c r="M96" t="s">
        <v>76</v>
      </c>
      <c r="N96" t="s">
        <v>47</v>
      </c>
      <c r="O96">
        <v>2170</v>
      </c>
      <c r="P96" t="s">
        <v>464</v>
      </c>
      <c r="Q96" t="s">
        <v>78</v>
      </c>
      <c r="R96" t="s">
        <v>65</v>
      </c>
      <c r="S96" t="s">
        <v>51</v>
      </c>
      <c r="T96" t="s">
        <v>52</v>
      </c>
      <c r="U96" t="s">
        <v>53</v>
      </c>
      <c r="V96" t="s">
        <v>172</v>
      </c>
      <c r="W96" s="1">
        <f t="shared" si="9"/>
        <v>40637</v>
      </c>
      <c r="X96" t="s">
        <v>465</v>
      </c>
      <c r="Y96" t="s">
        <v>68</v>
      </c>
      <c r="Z96" t="s">
        <v>69</v>
      </c>
      <c r="AA96" t="s">
        <v>57</v>
      </c>
      <c r="AB96" t="s">
        <v>113</v>
      </c>
      <c r="AC96">
        <v>19</v>
      </c>
      <c r="AD96" t="s">
        <v>95</v>
      </c>
      <c r="AE96" t="s">
        <v>73</v>
      </c>
      <c r="AF96">
        <v>3.66</v>
      </c>
      <c r="AG96">
        <v>3</v>
      </c>
      <c r="AH96">
        <v>0</v>
      </c>
      <c r="AI96" t="s">
        <v>466</v>
      </c>
      <c r="AJ96">
        <v>0</v>
      </c>
      <c r="AK96">
        <v>6</v>
      </c>
    </row>
    <row r="97" spans="1:37">
      <c r="A97" t="s">
        <v>467</v>
      </c>
      <c r="B97">
        <v>10305</v>
      </c>
      <c r="C97">
        <v>1</v>
      </c>
      <c r="D97">
        <v>1</v>
      </c>
      <c r="E97">
        <v>1</v>
      </c>
      <c r="F97">
        <v>1</v>
      </c>
      <c r="G97">
        <v>6</v>
      </c>
      <c r="H97">
        <v>3</v>
      </c>
      <c r="I97">
        <v>0</v>
      </c>
      <c r="J97">
        <v>70187</v>
      </c>
      <c r="K97">
        <v>1</v>
      </c>
      <c r="L97">
        <v>3</v>
      </c>
      <c r="M97" t="s">
        <v>242</v>
      </c>
      <c r="N97" t="s">
        <v>47</v>
      </c>
      <c r="O97">
        <v>2330</v>
      </c>
      <c r="P97" t="s">
        <v>468</v>
      </c>
      <c r="Q97" t="s">
        <v>49</v>
      </c>
      <c r="R97" t="s">
        <v>65</v>
      </c>
      <c r="S97" t="s">
        <v>51</v>
      </c>
      <c r="T97" t="s">
        <v>52</v>
      </c>
      <c r="U97" t="s">
        <v>53</v>
      </c>
      <c r="V97" t="s">
        <v>234</v>
      </c>
      <c r="W97" s="1">
        <f t="shared" si="9"/>
        <v>41911</v>
      </c>
      <c r="X97" t="s">
        <v>469</v>
      </c>
      <c r="Y97" t="s">
        <v>470</v>
      </c>
      <c r="Z97" t="s">
        <v>163</v>
      </c>
      <c r="AA97" t="s">
        <v>247</v>
      </c>
      <c r="AB97" t="s">
        <v>292</v>
      </c>
      <c r="AC97">
        <v>21</v>
      </c>
      <c r="AD97" t="s">
        <v>114</v>
      </c>
      <c r="AE97" t="s">
        <v>374</v>
      </c>
      <c r="AF97">
        <v>2</v>
      </c>
      <c r="AG97">
        <v>5</v>
      </c>
      <c r="AH97">
        <v>0</v>
      </c>
      <c r="AI97" t="s">
        <v>343</v>
      </c>
      <c r="AJ97">
        <v>4</v>
      </c>
      <c r="AK97">
        <v>7</v>
      </c>
    </row>
    <row r="98" spans="1:37">
      <c r="A98" t="s">
        <v>471</v>
      </c>
      <c r="B98">
        <v>10015</v>
      </c>
      <c r="C98">
        <v>0</v>
      </c>
      <c r="D98">
        <v>0</v>
      </c>
      <c r="E98">
        <v>1</v>
      </c>
      <c r="F98">
        <v>1</v>
      </c>
      <c r="G98">
        <v>3</v>
      </c>
      <c r="H98">
        <v>4</v>
      </c>
      <c r="I98">
        <v>0</v>
      </c>
      <c r="J98">
        <v>178000</v>
      </c>
      <c r="K98">
        <v>0</v>
      </c>
      <c r="L98">
        <v>12</v>
      </c>
      <c r="M98" t="s">
        <v>472</v>
      </c>
      <c r="N98" t="s">
        <v>47</v>
      </c>
      <c r="O98">
        <v>1460</v>
      </c>
      <c r="P98" t="s">
        <v>473</v>
      </c>
      <c r="Q98" t="s">
        <v>49</v>
      </c>
      <c r="R98" t="s">
        <v>50</v>
      </c>
      <c r="S98" t="s">
        <v>51</v>
      </c>
      <c r="T98" t="s">
        <v>52</v>
      </c>
      <c r="U98" t="s">
        <v>118</v>
      </c>
      <c r="V98" t="s">
        <v>474</v>
      </c>
      <c r="W98" s="1">
        <f t="shared" si="9"/>
        <v>40648</v>
      </c>
      <c r="Y98" t="s">
        <v>55</v>
      </c>
      <c r="Z98" t="s">
        <v>56</v>
      </c>
      <c r="AA98" t="s">
        <v>70</v>
      </c>
      <c r="AB98" t="s">
        <v>259</v>
      </c>
      <c r="AC98">
        <v>5</v>
      </c>
      <c r="AD98" t="s">
        <v>72</v>
      </c>
      <c r="AE98" t="s">
        <v>60</v>
      </c>
      <c r="AF98">
        <v>5</v>
      </c>
      <c r="AG98">
        <v>5</v>
      </c>
      <c r="AH98">
        <v>5</v>
      </c>
      <c r="AI98" t="s">
        <v>101</v>
      </c>
      <c r="AJ98">
        <v>0</v>
      </c>
      <c r="AK98">
        <v>15</v>
      </c>
    </row>
    <row r="99" spans="1:37">
      <c r="A99" t="s">
        <v>475</v>
      </c>
      <c r="B99">
        <v>10080</v>
      </c>
      <c r="C99">
        <v>1</v>
      </c>
      <c r="D99">
        <v>1</v>
      </c>
      <c r="E99">
        <v>0</v>
      </c>
      <c r="F99">
        <v>1</v>
      </c>
      <c r="G99">
        <v>1</v>
      </c>
      <c r="H99">
        <v>3</v>
      </c>
      <c r="I99">
        <v>0</v>
      </c>
      <c r="J99">
        <v>99351</v>
      </c>
      <c r="K99">
        <v>0</v>
      </c>
      <c r="L99">
        <v>26</v>
      </c>
      <c r="M99" t="s">
        <v>211</v>
      </c>
      <c r="N99" t="s">
        <v>47</v>
      </c>
      <c r="O99">
        <v>2050</v>
      </c>
      <c r="P99" t="s">
        <v>476</v>
      </c>
      <c r="Q99" t="s">
        <v>78</v>
      </c>
      <c r="R99" t="s">
        <v>65</v>
      </c>
      <c r="S99" t="s">
        <v>51</v>
      </c>
      <c r="T99" t="s">
        <v>477</v>
      </c>
      <c r="U99" t="s">
        <v>53</v>
      </c>
      <c r="V99" t="s">
        <v>334</v>
      </c>
      <c r="W99" s="1">
        <f t="shared" si="9"/>
        <v>39818</v>
      </c>
      <c r="Y99" t="s">
        <v>55</v>
      </c>
      <c r="Z99" t="s">
        <v>56</v>
      </c>
      <c r="AA99" t="s">
        <v>214</v>
      </c>
      <c r="AB99" t="s">
        <v>478</v>
      </c>
      <c r="AC99">
        <v>9</v>
      </c>
      <c r="AD99" t="s">
        <v>479</v>
      </c>
      <c r="AE99" t="s">
        <v>73</v>
      </c>
      <c r="AF99">
        <v>5</v>
      </c>
      <c r="AG99">
        <v>3</v>
      </c>
      <c r="AH99">
        <v>2</v>
      </c>
      <c r="AI99" t="s">
        <v>480</v>
      </c>
      <c r="AJ99">
        <v>0</v>
      </c>
      <c r="AK99">
        <v>3</v>
      </c>
    </row>
    <row r="100" spans="1:37">
      <c r="A100" t="s">
        <v>481</v>
      </c>
      <c r="B100">
        <v>10258</v>
      </c>
      <c r="C100">
        <v>0</v>
      </c>
      <c r="D100">
        <v>0</v>
      </c>
      <c r="E100">
        <v>1</v>
      </c>
      <c r="F100">
        <v>1</v>
      </c>
      <c r="G100">
        <v>6</v>
      </c>
      <c r="H100">
        <v>3</v>
      </c>
      <c r="I100">
        <v>0</v>
      </c>
      <c r="J100">
        <v>67251</v>
      </c>
      <c r="K100">
        <v>0</v>
      </c>
      <c r="L100">
        <v>3</v>
      </c>
      <c r="M100" t="s">
        <v>242</v>
      </c>
      <c r="N100" t="s">
        <v>204</v>
      </c>
      <c r="O100">
        <v>6050</v>
      </c>
      <c r="P100" t="s">
        <v>482</v>
      </c>
      <c r="Q100" t="s">
        <v>49</v>
      </c>
      <c r="R100" t="s">
        <v>50</v>
      </c>
      <c r="S100" t="s">
        <v>51</v>
      </c>
      <c r="T100" t="s">
        <v>52</v>
      </c>
      <c r="U100" t="s">
        <v>118</v>
      </c>
      <c r="V100" t="s">
        <v>483</v>
      </c>
      <c r="W100" s="1">
        <f t="shared" si="9"/>
        <v>40792</v>
      </c>
      <c r="Y100" t="s">
        <v>55</v>
      </c>
      <c r="Z100" t="s">
        <v>56</v>
      </c>
      <c r="AA100" t="s">
        <v>247</v>
      </c>
      <c r="AB100" t="s">
        <v>292</v>
      </c>
      <c r="AC100">
        <v>21</v>
      </c>
      <c r="AD100" t="s">
        <v>196</v>
      </c>
      <c r="AE100" t="s">
        <v>73</v>
      </c>
      <c r="AF100">
        <v>4.3</v>
      </c>
      <c r="AG100">
        <v>3</v>
      </c>
      <c r="AH100">
        <v>0</v>
      </c>
      <c r="AI100" t="s">
        <v>410</v>
      </c>
      <c r="AJ100">
        <v>2</v>
      </c>
      <c r="AK100">
        <v>7</v>
      </c>
    </row>
    <row r="101" spans="1:37">
      <c r="A101" t="s">
        <v>484</v>
      </c>
      <c r="B101">
        <v>10273</v>
      </c>
      <c r="C101">
        <v>0</v>
      </c>
      <c r="D101">
        <v>0</v>
      </c>
      <c r="E101">
        <v>0</v>
      </c>
      <c r="F101">
        <v>1</v>
      </c>
      <c r="G101">
        <v>3</v>
      </c>
      <c r="H101">
        <v>3</v>
      </c>
      <c r="I101">
        <v>0</v>
      </c>
      <c r="J101">
        <v>65707</v>
      </c>
      <c r="K101">
        <v>0</v>
      </c>
      <c r="L101">
        <v>14</v>
      </c>
      <c r="M101" t="s">
        <v>124</v>
      </c>
      <c r="N101" t="s">
        <v>204</v>
      </c>
      <c r="O101">
        <v>6040</v>
      </c>
      <c r="P101" t="s">
        <v>485</v>
      </c>
      <c r="Q101" t="s">
        <v>78</v>
      </c>
      <c r="R101" t="s">
        <v>50</v>
      </c>
      <c r="S101" t="s">
        <v>51</v>
      </c>
      <c r="T101" t="s">
        <v>52</v>
      </c>
      <c r="U101" t="s">
        <v>53</v>
      </c>
      <c r="V101" t="s">
        <v>486</v>
      </c>
      <c r="W101" s="1">
        <f t="shared" si="9"/>
        <v>40299</v>
      </c>
      <c r="Y101" t="s">
        <v>55</v>
      </c>
      <c r="Z101" t="s">
        <v>56</v>
      </c>
      <c r="AA101" t="s">
        <v>70</v>
      </c>
      <c r="AB101" t="s">
        <v>307</v>
      </c>
      <c r="AC101">
        <v>6</v>
      </c>
      <c r="AD101" t="s">
        <v>59</v>
      </c>
      <c r="AE101" t="s">
        <v>73</v>
      </c>
      <c r="AF101">
        <v>4.7</v>
      </c>
      <c r="AG101">
        <v>4</v>
      </c>
      <c r="AH101">
        <v>5</v>
      </c>
      <c r="AI101" t="s">
        <v>235</v>
      </c>
      <c r="AJ101">
        <v>0</v>
      </c>
      <c r="AK101">
        <v>1</v>
      </c>
    </row>
    <row r="102" spans="1:37">
      <c r="A102" t="s">
        <v>487</v>
      </c>
      <c r="B102">
        <v>10111</v>
      </c>
      <c r="C102">
        <v>0</v>
      </c>
      <c r="D102">
        <v>0</v>
      </c>
      <c r="E102">
        <v>1</v>
      </c>
      <c r="F102">
        <v>1</v>
      </c>
      <c r="G102">
        <v>5</v>
      </c>
      <c r="H102">
        <v>3</v>
      </c>
      <c r="I102">
        <v>0</v>
      </c>
      <c r="J102">
        <v>52249</v>
      </c>
      <c r="K102">
        <v>0</v>
      </c>
      <c r="L102">
        <v>19</v>
      </c>
      <c r="M102" t="s">
        <v>46</v>
      </c>
      <c r="N102" t="s">
        <v>47</v>
      </c>
      <c r="O102">
        <v>1905</v>
      </c>
      <c r="P102" t="s">
        <v>488</v>
      </c>
      <c r="Q102" t="s">
        <v>49</v>
      </c>
      <c r="R102" t="s">
        <v>50</v>
      </c>
      <c r="S102" t="s">
        <v>51</v>
      </c>
      <c r="T102" t="s">
        <v>131</v>
      </c>
      <c r="U102" t="s">
        <v>53</v>
      </c>
      <c r="V102" t="s">
        <v>66</v>
      </c>
      <c r="W102" s="1">
        <f t="shared" si="9"/>
        <v>42093</v>
      </c>
      <c r="Y102" t="s">
        <v>55</v>
      </c>
      <c r="Z102" t="s">
        <v>56</v>
      </c>
      <c r="AA102" t="s">
        <v>57</v>
      </c>
      <c r="AB102" t="s">
        <v>135</v>
      </c>
      <c r="AC102">
        <v>14</v>
      </c>
      <c r="AD102" t="s">
        <v>114</v>
      </c>
      <c r="AE102" t="s">
        <v>73</v>
      </c>
      <c r="AF102">
        <v>4.5</v>
      </c>
      <c r="AG102">
        <v>3</v>
      </c>
      <c r="AH102">
        <v>0</v>
      </c>
      <c r="AI102" t="s">
        <v>128</v>
      </c>
      <c r="AJ102">
        <v>0</v>
      </c>
      <c r="AK102">
        <v>5</v>
      </c>
    </row>
    <row r="103" spans="1:37">
      <c r="A103" t="s">
        <v>489</v>
      </c>
      <c r="B103">
        <v>10257</v>
      </c>
      <c r="C103">
        <v>0</v>
      </c>
      <c r="D103">
        <v>0</v>
      </c>
      <c r="E103">
        <v>0</v>
      </c>
      <c r="F103">
        <v>1</v>
      </c>
      <c r="G103">
        <v>5</v>
      </c>
      <c r="H103">
        <v>3</v>
      </c>
      <c r="I103">
        <v>0</v>
      </c>
      <c r="J103">
        <v>53171</v>
      </c>
      <c r="K103">
        <v>0</v>
      </c>
      <c r="L103">
        <v>19</v>
      </c>
      <c r="M103" t="s">
        <v>46</v>
      </c>
      <c r="N103" t="s">
        <v>47</v>
      </c>
      <c r="O103">
        <v>2121</v>
      </c>
      <c r="P103" t="s">
        <v>490</v>
      </c>
      <c r="Q103" t="s">
        <v>78</v>
      </c>
      <c r="R103" t="s">
        <v>50</v>
      </c>
      <c r="S103" t="s">
        <v>51</v>
      </c>
      <c r="T103" t="s">
        <v>131</v>
      </c>
      <c r="U103" t="s">
        <v>118</v>
      </c>
      <c r="V103" t="s">
        <v>310</v>
      </c>
      <c r="W103" s="1">
        <f t="shared" si="9"/>
        <v>40679</v>
      </c>
      <c r="Y103" t="s">
        <v>55</v>
      </c>
      <c r="Z103" t="s">
        <v>56</v>
      </c>
      <c r="AA103" t="s">
        <v>57</v>
      </c>
      <c r="AB103" t="s">
        <v>151</v>
      </c>
      <c r="AC103">
        <v>18</v>
      </c>
      <c r="AD103" t="s">
        <v>59</v>
      </c>
      <c r="AE103" t="s">
        <v>73</v>
      </c>
      <c r="AF103">
        <v>4.2</v>
      </c>
      <c r="AG103">
        <v>4</v>
      </c>
      <c r="AH103">
        <v>0</v>
      </c>
      <c r="AI103" t="s">
        <v>491</v>
      </c>
      <c r="AJ103">
        <v>0</v>
      </c>
      <c r="AK103">
        <v>12</v>
      </c>
    </row>
    <row r="104" spans="1:37">
      <c r="A104" t="s">
        <v>492</v>
      </c>
      <c r="B104">
        <v>10159</v>
      </c>
      <c r="C104">
        <v>1</v>
      </c>
      <c r="D104">
        <v>1</v>
      </c>
      <c r="E104">
        <v>0</v>
      </c>
      <c r="F104">
        <v>1</v>
      </c>
      <c r="G104">
        <v>5</v>
      </c>
      <c r="H104">
        <v>3</v>
      </c>
      <c r="I104">
        <v>0</v>
      </c>
      <c r="J104">
        <v>51337</v>
      </c>
      <c r="K104">
        <v>0</v>
      </c>
      <c r="L104">
        <v>19</v>
      </c>
      <c r="M104" t="s">
        <v>46</v>
      </c>
      <c r="N104" t="s">
        <v>47</v>
      </c>
      <c r="O104">
        <v>2145</v>
      </c>
      <c r="P104" t="s">
        <v>493</v>
      </c>
      <c r="Q104" t="s">
        <v>78</v>
      </c>
      <c r="R104" t="s">
        <v>65</v>
      </c>
      <c r="S104" t="s">
        <v>51</v>
      </c>
      <c r="T104" t="s">
        <v>52</v>
      </c>
      <c r="U104" t="s">
        <v>118</v>
      </c>
      <c r="V104" t="s">
        <v>66</v>
      </c>
      <c r="W104" s="1">
        <f t="shared" si="9"/>
        <v>42093</v>
      </c>
      <c r="Y104" t="s">
        <v>55</v>
      </c>
      <c r="Z104" t="s">
        <v>56</v>
      </c>
      <c r="AA104" t="s">
        <v>57</v>
      </c>
      <c r="AB104" t="s">
        <v>58</v>
      </c>
      <c r="AC104">
        <v>22</v>
      </c>
      <c r="AD104" t="s">
        <v>59</v>
      </c>
      <c r="AE104" t="s">
        <v>73</v>
      </c>
      <c r="AF104">
        <v>3.73</v>
      </c>
      <c r="AG104">
        <v>3</v>
      </c>
      <c r="AH104">
        <v>0</v>
      </c>
      <c r="AI104" t="s">
        <v>494</v>
      </c>
      <c r="AJ104">
        <v>0</v>
      </c>
      <c r="AK104">
        <v>19</v>
      </c>
    </row>
    <row r="105" spans="1:37">
      <c r="A105" t="s">
        <v>495</v>
      </c>
      <c r="B105">
        <v>10122</v>
      </c>
      <c r="C105">
        <v>0</v>
      </c>
      <c r="D105">
        <v>2</v>
      </c>
      <c r="E105">
        <v>0</v>
      </c>
      <c r="F105">
        <v>5</v>
      </c>
      <c r="G105">
        <v>5</v>
      </c>
      <c r="H105">
        <v>3</v>
      </c>
      <c r="I105">
        <v>1</v>
      </c>
      <c r="J105">
        <v>51505</v>
      </c>
      <c r="K105">
        <v>1</v>
      </c>
      <c r="L105">
        <v>19</v>
      </c>
      <c r="M105" t="s">
        <v>46</v>
      </c>
      <c r="N105" t="s">
        <v>47</v>
      </c>
      <c r="O105">
        <v>2330</v>
      </c>
      <c r="P105" t="s">
        <v>496</v>
      </c>
      <c r="Q105" t="s">
        <v>78</v>
      </c>
      <c r="R105" t="s">
        <v>90</v>
      </c>
      <c r="S105" t="s">
        <v>51</v>
      </c>
      <c r="T105" t="s">
        <v>52</v>
      </c>
      <c r="U105" t="s">
        <v>118</v>
      </c>
      <c r="V105" t="s">
        <v>360</v>
      </c>
      <c r="W105" s="1">
        <f t="shared" si="9"/>
        <v>40854</v>
      </c>
      <c r="X105" t="s">
        <v>497</v>
      </c>
      <c r="Y105" t="s">
        <v>80</v>
      </c>
      <c r="Z105" t="s">
        <v>69</v>
      </c>
      <c r="AA105" t="s">
        <v>57</v>
      </c>
      <c r="AB105" t="s">
        <v>86</v>
      </c>
      <c r="AC105">
        <v>16</v>
      </c>
      <c r="AD105" t="s">
        <v>121</v>
      </c>
      <c r="AE105" t="s">
        <v>73</v>
      </c>
      <c r="AF105">
        <v>4.24</v>
      </c>
      <c r="AG105">
        <v>4</v>
      </c>
      <c r="AH105">
        <v>0</v>
      </c>
      <c r="AI105" t="s">
        <v>498</v>
      </c>
      <c r="AJ105">
        <v>0</v>
      </c>
      <c r="AK105">
        <v>2</v>
      </c>
    </row>
    <row r="106" spans="1:37">
      <c r="A106" t="s">
        <v>499</v>
      </c>
      <c r="B106">
        <v>10142</v>
      </c>
      <c r="C106">
        <v>0</v>
      </c>
      <c r="D106">
        <v>4</v>
      </c>
      <c r="E106">
        <v>0</v>
      </c>
      <c r="F106">
        <v>4</v>
      </c>
      <c r="G106">
        <v>6</v>
      </c>
      <c r="H106">
        <v>3</v>
      </c>
      <c r="I106">
        <v>0</v>
      </c>
      <c r="J106">
        <v>59370</v>
      </c>
      <c r="K106">
        <v>1</v>
      </c>
      <c r="L106">
        <v>3</v>
      </c>
      <c r="M106" t="s">
        <v>242</v>
      </c>
      <c r="N106" t="s">
        <v>500</v>
      </c>
      <c r="O106">
        <v>43050</v>
      </c>
      <c r="P106" t="s">
        <v>501</v>
      </c>
      <c r="Q106" t="s">
        <v>78</v>
      </c>
      <c r="R106" t="s">
        <v>111</v>
      </c>
      <c r="S106" t="s">
        <v>51</v>
      </c>
      <c r="T106" t="s">
        <v>52</v>
      </c>
      <c r="U106" t="s">
        <v>118</v>
      </c>
      <c r="V106" t="s">
        <v>176</v>
      </c>
      <c r="W106" s="1">
        <f>DATE(RIGHT(V106,4),LEFT(V106,FIND("/",V106)-1),MID(V106,FIND("/",V106)+1,FIND("/",V106,FIND("/",V106)+1)-FIND("/",V106)-1))</f>
        <v>41827</v>
      </c>
      <c r="X106" t="s">
        <v>502</v>
      </c>
      <c r="Y106" t="s">
        <v>162</v>
      </c>
      <c r="Z106" t="s">
        <v>163</v>
      </c>
      <c r="AA106" t="s">
        <v>247</v>
      </c>
      <c r="AB106" t="s">
        <v>248</v>
      </c>
      <c r="AC106">
        <v>17</v>
      </c>
      <c r="AD106" t="s">
        <v>196</v>
      </c>
      <c r="AE106" t="s">
        <v>73</v>
      </c>
      <c r="AF106">
        <v>3.97</v>
      </c>
      <c r="AG106">
        <v>4</v>
      </c>
      <c r="AH106">
        <v>0</v>
      </c>
      <c r="AI106" t="s">
        <v>503</v>
      </c>
      <c r="AJ106">
        <v>0</v>
      </c>
      <c r="AK106">
        <v>7</v>
      </c>
    </row>
    <row r="107" spans="1:37">
      <c r="A107" t="s">
        <v>504</v>
      </c>
      <c r="B107">
        <v>10283</v>
      </c>
      <c r="C107">
        <v>1</v>
      </c>
      <c r="D107">
        <v>1</v>
      </c>
      <c r="E107">
        <v>1</v>
      </c>
      <c r="F107">
        <v>5</v>
      </c>
      <c r="G107">
        <v>5</v>
      </c>
      <c r="H107">
        <v>2</v>
      </c>
      <c r="I107">
        <v>1</v>
      </c>
      <c r="J107">
        <v>54933</v>
      </c>
      <c r="K107">
        <v>1</v>
      </c>
      <c r="L107">
        <v>19</v>
      </c>
      <c r="M107" t="s">
        <v>46</v>
      </c>
      <c r="N107" t="s">
        <v>47</v>
      </c>
      <c r="O107">
        <v>2062</v>
      </c>
      <c r="P107" t="s">
        <v>505</v>
      </c>
      <c r="Q107" t="s">
        <v>49</v>
      </c>
      <c r="R107" t="s">
        <v>65</v>
      </c>
      <c r="S107" t="s">
        <v>51</v>
      </c>
      <c r="T107" t="s">
        <v>52</v>
      </c>
      <c r="U107" t="s">
        <v>118</v>
      </c>
      <c r="V107" t="s">
        <v>139</v>
      </c>
      <c r="W107" s="1">
        <f t="shared" ref="W107:W148" si="10">DATE(RIGHT(V107,4),LEFT(V107,FIND("/",V107)-1),MID(V107,FIND("/",V107)+1,FIND("/",V107,FIND("/",V107)+1)-FIND("/",V107)-1))</f>
        <v>41001</v>
      </c>
      <c r="X107" t="s">
        <v>506</v>
      </c>
      <c r="Y107" t="s">
        <v>420</v>
      </c>
      <c r="Z107" t="s">
        <v>69</v>
      </c>
      <c r="AA107" t="s">
        <v>57</v>
      </c>
      <c r="AB107" t="s">
        <v>94</v>
      </c>
      <c r="AC107">
        <v>39</v>
      </c>
      <c r="AD107" t="s">
        <v>121</v>
      </c>
      <c r="AE107" t="s">
        <v>197</v>
      </c>
      <c r="AF107">
        <v>3.97</v>
      </c>
      <c r="AG107">
        <v>4</v>
      </c>
      <c r="AH107">
        <v>0</v>
      </c>
      <c r="AI107" t="s">
        <v>507</v>
      </c>
      <c r="AJ107">
        <v>3</v>
      </c>
      <c r="AK107">
        <v>15</v>
      </c>
    </row>
    <row r="108" spans="1:37">
      <c r="A108" t="s">
        <v>508</v>
      </c>
      <c r="B108">
        <v>10018</v>
      </c>
      <c r="C108">
        <v>0</v>
      </c>
      <c r="D108">
        <v>0</v>
      </c>
      <c r="E108">
        <v>0</v>
      </c>
      <c r="F108">
        <v>1</v>
      </c>
      <c r="G108">
        <v>5</v>
      </c>
      <c r="H108">
        <v>4</v>
      </c>
      <c r="I108">
        <v>0</v>
      </c>
      <c r="J108">
        <v>57815</v>
      </c>
      <c r="K108">
        <v>0</v>
      </c>
      <c r="L108">
        <v>19</v>
      </c>
      <c r="M108" t="s">
        <v>46</v>
      </c>
      <c r="N108" t="s">
        <v>47</v>
      </c>
      <c r="O108">
        <v>2451</v>
      </c>
      <c r="P108" t="s">
        <v>509</v>
      </c>
      <c r="Q108" t="s">
        <v>78</v>
      </c>
      <c r="R108" t="s">
        <v>50</v>
      </c>
      <c r="S108" t="s">
        <v>51</v>
      </c>
      <c r="T108" t="s">
        <v>131</v>
      </c>
      <c r="U108" t="s">
        <v>149</v>
      </c>
      <c r="V108" t="s">
        <v>234</v>
      </c>
      <c r="W108" s="1">
        <f t="shared" si="10"/>
        <v>41911</v>
      </c>
      <c r="Y108" t="s">
        <v>55</v>
      </c>
      <c r="Z108" t="s">
        <v>56</v>
      </c>
      <c r="AA108" t="s">
        <v>57</v>
      </c>
      <c r="AB108" t="s">
        <v>100</v>
      </c>
      <c r="AC108">
        <v>11</v>
      </c>
      <c r="AD108" t="s">
        <v>72</v>
      </c>
      <c r="AE108" t="s">
        <v>60</v>
      </c>
      <c r="AF108">
        <v>3.9</v>
      </c>
      <c r="AG108">
        <v>4</v>
      </c>
      <c r="AH108">
        <v>0</v>
      </c>
      <c r="AI108" t="s">
        <v>510</v>
      </c>
      <c r="AJ108">
        <v>0</v>
      </c>
      <c r="AK108">
        <v>3</v>
      </c>
    </row>
    <row r="109" spans="1:37">
      <c r="A109" t="s">
        <v>511</v>
      </c>
      <c r="B109">
        <v>10255</v>
      </c>
      <c r="C109">
        <v>0</v>
      </c>
      <c r="D109">
        <v>0</v>
      </c>
      <c r="E109">
        <v>0</v>
      </c>
      <c r="F109">
        <v>1</v>
      </c>
      <c r="G109">
        <v>6</v>
      </c>
      <c r="H109">
        <v>3</v>
      </c>
      <c r="I109">
        <v>0</v>
      </c>
      <c r="J109">
        <v>61555</v>
      </c>
      <c r="K109">
        <v>0</v>
      </c>
      <c r="L109">
        <v>3</v>
      </c>
      <c r="M109" t="s">
        <v>242</v>
      </c>
      <c r="N109" t="s">
        <v>512</v>
      </c>
      <c r="O109">
        <v>46204</v>
      </c>
      <c r="P109" t="s">
        <v>513</v>
      </c>
      <c r="Q109" t="s">
        <v>78</v>
      </c>
      <c r="R109" t="s">
        <v>50</v>
      </c>
      <c r="S109" t="s">
        <v>51</v>
      </c>
      <c r="T109" t="s">
        <v>52</v>
      </c>
      <c r="U109" t="s">
        <v>53</v>
      </c>
      <c r="V109" t="s">
        <v>213</v>
      </c>
      <c r="W109" s="1">
        <f t="shared" si="10"/>
        <v>42051</v>
      </c>
      <c r="Y109" t="s">
        <v>55</v>
      </c>
      <c r="Z109" t="s">
        <v>56</v>
      </c>
      <c r="AA109" t="s">
        <v>247</v>
      </c>
      <c r="AB109" t="s">
        <v>292</v>
      </c>
      <c r="AC109">
        <v>21</v>
      </c>
      <c r="AD109" t="s">
        <v>72</v>
      </c>
      <c r="AE109" t="s">
        <v>73</v>
      </c>
      <c r="AF109">
        <v>4.5</v>
      </c>
      <c r="AG109">
        <v>5</v>
      </c>
      <c r="AH109">
        <v>0</v>
      </c>
      <c r="AI109" t="s">
        <v>122</v>
      </c>
      <c r="AJ109">
        <v>0</v>
      </c>
      <c r="AK109">
        <v>20</v>
      </c>
    </row>
    <row r="110" spans="1:37">
      <c r="A110" t="s">
        <v>514</v>
      </c>
      <c r="B110">
        <v>10246</v>
      </c>
      <c r="C110">
        <v>0</v>
      </c>
      <c r="D110">
        <v>0</v>
      </c>
      <c r="E110">
        <v>0</v>
      </c>
      <c r="F110">
        <v>4</v>
      </c>
      <c r="G110">
        <v>3</v>
      </c>
      <c r="H110">
        <v>3</v>
      </c>
      <c r="I110">
        <v>0</v>
      </c>
      <c r="J110">
        <v>114800</v>
      </c>
      <c r="K110">
        <v>1</v>
      </c>
      <c r="L110">
        <v>8</v>
      </c>
      <c r="M110" t="s">
        <v>174</v>
      </c>
      <c r="N110" t="s">
        <v>47</v>
      </c>
      <c r="O110">
        <v>2127</v>
      </c>
      <c r="P110" t="s">
        <v>515</v>
      </c>
      <c r="Q110" t="s">
        <v>78</v>
      </c>
      <c r="R110" t="s">
        <v>50</v>
      </c>
      <c r="S110" t="s">
        <v>51</v>
      </c>
      <c r="T110" t="s">
        <v>52</v>
      </c>
      <c r="U110" t="s">
        <v>53</v>
      </c>
      <c r="V110" t="s">
        <v>213</v>
      </c>
      <c r="W110" s="1">
        <f t="shared" si="10"/>
        <v>42051</v>
      </c>
      <c r="X110" t="s">
        <v>516</v>
      </c>
      <c r="Y110" t="s">
        <v>436</v>
      </c>
      <c r="Z110" t="s">
        <v>163</v>
      </c>
      <c r="AA110" t="s">
        <v>70</v>
      </c>
      <c r="AB110" t="s">
        <v>71</v>
      </c>
      <c r="AC110">
        <v>4</v>
      </c>
      <c r="AD110" t="s">
        <v>72</v>
      </c>
      <c r="AE110" t="s">
        <v>73</v>
      </c>
      <c r="AF110">
        <v>4.5999999999999996</v>
      </c>
      <c r="AG110">
        <v>4</v>
      </c>
      <c r="AH110">
        <v>4</v>
      </c>
      <c r="AI110" t="s">
        <v>507</v>
      </c>
      <c r="AJ110">
        <v>0</v>
      </c>
      <c r="AK110">
        <v>10</v>
      </c>
    </row>
    <row r="111" spans="1:37">
      <c r="A111" t="s">
        <v>517</v>
      </c>
      <c r="B111">
        <v>10228</v>
      </c>
      <c r="C111">
        <v>1</v>
      </c>
      <c r="D111">
        <v>1</v>
      </c>
      <c r="E111">
        <v>1</v>
      </c>
      <c r="F111">
        <v>1</v>
      </c>
      <c r="G111">
        <v>3</v>
      </c>
      <c r="H111">
        <v>3</v>
      </c>
      <c r="I111">
        <v>0</v>
      </c>
      <c r="J111">
        <v>74679</v>
      </c>
      <c r="K111">
        <v>0</v>
      </c>
      <c r="L111">
        <v>14</v>
      </c>
      <c r="M111" t="s">
        <v>124</v>
      </c>
      <c r="N111" t="s">
        <v>47</v>
      </c>
      <c r="O111">
        <v>2135</v>
      </c>
      <c r="P111" t="s">
        <v>518</v>
      </c>
      <c r="Q111" t="s">
        <v>49</v>
      </c>
      <c r="R111" t="s">
        <v>65</v>
      </c>
      <c r="S111" t="s">
        <v>51</v>
      </c>
      <c r="T111" t="s">
        <v>131</v>
      </c>
      <c r="U111" t="s">
        <v>53</v>
      </c>
      <c r="V111" t="s">
        <v>66</v>
      </c>
      <c r="W111" s="1">
        <f t="shared" si="10"/>
        <v>42093</v>
      </c>
      <c r="Y111" t="s">
        <v>55</v>
      </c>
      <c r="Z111" t="s">
        <v>56</v>
      </c>
      <c r="AA111" t="s">
        <v>70</v>
      </c>
      <c r="AB111" t="s">
        <v>127</v>
      </c>
      <c r="AC111">
        <v>7</v>
      </c>
      <c r="AD111" t="s">
        <v>59</v>
      </c>
      <c r="AE111" t="s">
        <v>73</v>
      </c>
      <c r="AF111">
        <v>4.3</v>
      </c>
      <c r="AG111">
        <v>5</v>
      </c>
      <c r="AH111">
        <v>7</v>
      </c>
      <c r="AI111" t="s">
        <v>190</v>
      </c>
      <c r="AJ111">
        <v>0</v>
      </c>
      <c r="AK111">
        <v>20</v>
      </c>
    </row>
    <row r="112" spans="1:37">
      <c r="A112" t="s">
        <v>519</v>
      </c>
      <c r="B112">
        <v>10243</v>
      </c>
      <c r="C112">
        <v>0</v>
      </c>
      <c r="D112">
        <v>0</v>
      </c>
      <c r="E112">
        <v>0</v>
      </c>
      <c r="F112">
        <v>1</v>
      </c>
      <c r="G112">
        <v>5</v>
      </c>
      <c r="H112">
        <v>3</v>
      </c>
      <c r="I112">
        <v>0</v>
      </c>
      <c r="J112">
        <v>53018</v>
      </c>
      <c r="K112">
        <v>0</v>
      </c>
      <c r="L112">
        <v>19</v>
      </c>
      <c r="M112" t="s">
        <v>46</v>
      </c>
      <c r="N112" t="s">
        <v>47</v>
      </c>
      <c r="O112">
        <v>2451</v>
      </c>
      <c r="P112" t="s">
        <v>520</v>
      </c>
      <c r="Q112" t="s">
        <v>78</v>
      </c>
      <c r="R112" t="s">
        <v>50</v>
      </c>
      <c r="S112" t="s">
        <v>51</v>
      </c>
      <c r="T112" t="s">
        <v>131</v>
      </c>
      <c r="U112" t="s">
        <v>53</v>
      </c>
      <c r="V112" t="s">
        <v>239</v>
      </c>
      <c r="W112" s="1">
        <f t="shared" si="10"/>
        <v>41589</v>
      </c>
      <c r="Y112" t="s">
        <v>55</v>
      </c>
      <c r="Z112" t="s">
        <v>56</v>
      </c>
      <c r="AA112" t="s">
        <v>57</v>
      </c>
      <c r="AB112" t="s">
        <v>113</v>
      </c>
      <c r="AC112">
        <v>19</v>
      </c>
      <c r="AD112" t="s">
        <v>72</v>
      </c>
      <c r="AE112" t="s">
        <v>73</v>
      </c>
      <c r="AF112">
        <v>4.3</v>
      </c>
      <c r="AG112">
        <v>5</v>
      </c>
      <c r="AH112">
        <v>0</v>
      </c>
      <c r="AI112" t="s">
        <v>128</v>
      </c>
      <c r="AJ112">
        <v>0</v>
      </c>
      <c r="AK112">
        <v>7</v>
      </c>
    </row>
    <row r="113" spans="1:37">
      <c r="A113" t="s">
        <v>521</v>
      </c>
      <c r="B113">
        <v>10031</v>
      </c>
      <c r="C113">
        <v>0</v>
      </c>
      <c r="D113">
        <v>2</v>
      </c>
      <c r="E113">
        <v>1</v>
      </c>
      <c r="F113">
        <v>1</v>
      </c>
      <c r="G113">
        <v>5</v>
      </c>
      <c r="H113">
        <v>4</v>
      </c>
      <c r="I113">
        <v>1</v>
      </c>
      <c r="J113">
        <v>59892</v>
      </c>
      <c r="K113">
        <v>0</v>
      </c>
      <c r="L113">
        <v>19</v>
      </c>
      <c r="M113" t="s">
        <v>46</v>
      </c>
      <c r="N113" t="s">
        <v>47</v>
      </c>
      <c r="O113">
        <v>2108</v>
      </c>
      <c r="P113" t="s">
        <v>522</v>
      </c>
      <c r="Q113" t="s">
        <v>49</v>
      </c>
      <c r="R113" t="s">
        <v>90</v>
      </c>
      <c r="S113" t="s">
        <v>51</v>
      </c>
      <c r="T113" t="s">
        <v>52</v>
      </c>
      <c r="U113" t="s">
        <v>118</v>
      </c>
      <c r="V113" t="s">
        <v>91</v>
      </c>
      <c r="W113" s="1">
        <f t="shared" si="10"/>
        <v>40735</v>
      </c>
      <c r="Y113" t="s">
        <v>55</v>
      </c>
      <c r="Z113" t="s">
        <v>56</v>
      </c>
      <c r="AA113" t="s">
        <v>57</v>
      </c>
      <c r="AB113" t="s">
        <v>120</v>
      </c>
      <c r="AC113">
        <v>12</v>
      </c>
      <c r="AD113" t="s">
        <v>121</v>
      </c>
      <c r="AE113" t="s">
        <v>60</v>
      </c>
      <c r="AF113">
        <v>4.5</v>
      </c>
      <c r="AG113">
        <v>4</v>
      </c>
      <c r="AH113">
        <v>0</v>
      </c>
      <c r="AI113" t="s">
        <v>128</v>
      </c>
      <c r="AJ113">
        <v>0</v>
      </c>
      <c r="AK113">
        <v>1</v>
      </c>
    </row>
    <row r="114" spans="1:37">
      <c r="A114" t="s">
        <v>523</v>
      </c>
      <c r="B114">
        <v>10300</v>
      </c>
      <c r="C114">
        <v>1</v>
      </c>
      <c r="D114">
        <v>1</v>
      </c>
      <c r="E114">
        <v>1</v>
      </c>
      <c r="F114">
        <v>5</v>
      </c>
      <c r="G114">
        <v>5</v>
      </c>
      <c r="H114">
        <v>1</v>
      </c>
      <c r="I114">
        <v>1</v>
      </c>
      <c r="J114">
        <v>68898</v>
      </c>
      <c r="K114">
        <v>1</v>
      </c>
      <c r="L114">
        <v>20</v>
      </c>
      <c r="M114" t="s">
        <v>76</v>
      </c>
      <c r="N114" t="s">
        <v>47</v>
      </c>
      <c r="O114">
        <v>2128</v>
      </c>
      <c r="P114" t="s">
        <v>524</v>
      </c>
      <c r="Q114" t="s">
        <v>49</v>
      </c>
      <c r="R114" t="s">
        <v>65</v>
      </c>
      <c r="S114" t="s">
        <v>51</v>
      </c>
      <c r="T114" t="s">
        <v>52</v>
      </c>
      <c r="U114" t="s">
        <v>118</v>
      </c>
      <c r="V114" t="s">
        <v>416</v>
      </c>
      <c r="W114" s="1">
        <f t="shared" si="10"/>
        <v>40294</v>
      </c>
      <c r="X114" t="s">
        <v>525</v>
      </c>
      <c r="Y114" t="s">
        <v>68</v>
      </c>
      <c r="Z114" t="s">
        <v>69</v>
      </c>
      <c r="AA114" t="s">
        <v>57</v>
      </c>
      <c r="AB114" t="s">
        <v>120</v>
      </c>
      <c r="AC114">
        <v>12</v>
      </c>
      <c r="AD114" t="s">
        <v>121</v>
      </c>
      <c r="AE114" t="s">
        <v>374</v>
      </c>
      <c r="AF114">
        <v>3</v>
      </c>
      <c r="AG114">
        <v>3</v>
      </c>
      <c r="AH114">
        <v>0</v>
      </c>
      <c r="AI114" t="s">
        <v>526</v>
      </c>
      <c r="AJ114">
        <v>3</v>
      </c>
      <c r="AK114">
        <v>10</v>
      </c>
    </row>
    <row r="115" spans="1:37">
      <c r="A115" t="s">
        <v>527</v>
      </c>
      <c r="B115">
        <v>10101</v>
      </c>
      <c r="C115">
        <v>0</v>
      </c>
      <c r="D115">
        <v>3</v>
      </c>
      <c r="E115">
        <v>0</v>
      </c>
      <c r="F115">
        <v>1</v>
      </c>
      <c r="G115">
        <v>3</v>
      </c>
      <c r="H115">
        <v>3</v>
      </c>
      <c r="I115">
        <v>0</v>
      </c>
      <c r="J115">
        <v>61242</v>
      </c>
      <c r="K115">
        <v>0</v>
      </c>
      <c r="L115">
        <v>14</v>
      </c>
      <c r="M115" t="s">
        <v>124</v>
      </c>
      <c r="N115" t="s">
        <v>47</v>
      </c>
      <c r="O115">
        <v>2472</v>
      </c>
      <c r="P115" t="s">
        <v>528</v>
      </c>
      <c r="Q115" t="s">
        <v>78</v>
      </c>
      <c r="R115" t="s">
        <v>238</v>
      </c>
      <c r="S115" t="s">
        <v>51</v>
      </c>
      <c r="T115" t="s">
        <v>131</v>
      </c>
      <c r="U115" t="s">
        <v>53</v>
      </c>
      <c r="V115" t="s">
        <v>126</v>
      </c>
      <c r="W115" s="1">
        <f t="shared" si="10"/>
        <v>42009</v>
      </c>
      <c r="Y115" t="s">
        <v>55</v>
      </c>
      <c r="Z115" t="s">
        <v>56</v>
      </c>
      <c r="AA115" t="s">
        <v>70</v>
      </c>
      <c r="AB115" t="s">
        <v>127</v>
      </c>
      <c r="AC115">
        <v>7</v>
      </c>
      <c r="AD115" t="s">
        <v>114</v>
      </c>
      <c r="AE115" t="s">
        <v>73</v>
      </c>
      <c r="AF115">
        <v>4.6100000000000003</v>
      </c>
      <c r="AG115">
        <v>4</v>
      </c>
      <c r="AH115">
        <v>5</v>
      </c>
      <c r="AI115" t="s">
        <v>343</v>
      </c>
      <c r="AJ115">
        <v>0</v>
      </c>
      <c r="AK115">
        <v>11</v>
      </c>
    </row>
    <row r="116" spans="1:37">
      <c r="A116" t="s">
        <v>529</v>
      </c>
      <c r="B116">
        <v>10237</v>
      </c>
      <c r="C116">
        <v>1</v>
      </c>
      <c r="D116">
        <v>1</v>
      </c>
      <c r="E116">
        <v>0</v>
      </c>
      <c r="F116">
        <v>3</v>
      </c>
      <c r="G116">
        <v>5</v>
      </c>
      <c r="H116">
        <v>3</v>
      </c>
      <c r="I116">
        <v>0</v>
      </c>
      <c r="J116">
        <v>66825</v>
      </c>
      <c r="K116">
        <v>0</v>
      </c>
      <c r="L116">
        <v>20</v>
      </c>
      <c r="M116" t="s">
        <v>76</v>
      </c>
      <c r="N116" t="s">
        <v>47</v>
      </c>
      <c r="O116">
        <v>1886</v>
      </c>
      <c r="P116" t="s">
        <v>530</v>
      </c>
      <c r="Q116" t="s">
        <v>78</v>
      </c>
      <c r="R116" t="s">
        <v>65</v>
      </c>
      <c r="S116" t="s">
        <v>51</v>
      </c>
      <c r="T116" t="s">
        <v>52</v>
      </c>
      <c r="U116" t="s">
        <v>53</v>
      </c>
      <c r="V116" t="s">
        <v>285</v>
      </c>
      <c r="W116" s="1">
        <f t="shared" si="10"/>
        <v>41771</v>
      </c>
      <c r="Y116" t="s">
        <v>55</v>
      </c>
      <c r="Z116" t="s">
        <v>56</v>
      </c>
      <c r="AA116" t="s">
        <v>57</v>
      </c>
      <c r="AB116" t="s">
        <v>135</v>
      </c>
      <c r="AC116">
        <v>14</v>
      </c>
      <c r="AD116" t="s">
        <v>59</v>
      </c>
      <c r="AE116" t="s">
        <v>73</v>
      </c>
      <c r="AF116">
        <v>4.5999999999999996</v>
      </c>
      <c r="AG116">
        <v>3</v>
      </c>
      <c r="AH116">
        <v>0</v>
      </c>
      <c r="AI116" t="s">
        <v>510</v>
      </c>
      <c r="AJ116">
        <v>0</v>
      </c>
      <c r="AK116">
        <v>20</v>
      </c>
    </row>
    <row r="117" spans="1:37">
      <c r="A117" t="s">
        <v>531</v>
      </c>
      <c r="B117">
        <v>10051</v>
      </c>
      <c r="C117">
        <v>1</v>
      </c>
      <c r="D117">
        <v>1</v>
      </c>
      <c r="E117">
        <v>1</v>
      </c>
      <c r="F117">
        <v>1</v>
      </c>
      <c r="G117">
        <v>5</v>
      </c>
      <c r="H117">
        <v>3</v>
      </c>
      <c r="I117">
        <v>0</v>
      </c>
      <c r="J117">
        <v>48285</v>
      </c>
      <c r="K117">
        <v>0</v>
      </c>
      <c r="L117">
        <v>19</v>
      </c>
      <c r="M117" t="s">
        <v>46</v>
      </c>
      <c r="N117" t="s">
        <v>47</v>
      </c>
      <c r="O117">
        <v>2169</v>
      </c>
      <c r="P117" t="s">
        <v>532</v>
      </c>
      <c r="Q117" t="s">
        <v>49</v>
      </c>
      <c r="R117" t="s">
        <v>65</v>
      </c>
      <c r="S117" t="s">
        <v>51</v>
      </c>
      <c r="T117" t="s">
        <v>52</v>
      </c>
      <c r="U117" t="s">
        <v>53</v>
      </c>
      <c r="V117" t="s">
        <v>357</v>
      </c>
      <c r="W117" s="1">
        <f t="shared" si="10"/>
        <v>41092</v>
      </c>
      <c r="Y117" t="s">
        <v>55</v>
      </c>
      <c r="Z117" t="s">
        <v>56</v>
      </c>
      <c r="AA117" t="s">
        <v>57</v>
      </c>
      <c r="AB117" t="s">
        <v>135</v>
      </c>
      <c r="AC117">
        <v>14</v>
      </c>
      <c r="AD117" t="s">
        <v>59</v>
      </c>
      <c r="AE117" t="s">
        <v>73</v>
      </c>
      <c r="AF117">
        <v>5</v>
      </c>
      <c r="AG117">
        <v>3</v>
      </c>
      <c r="AH117">
        <v>0</v>
      </c>
      <c r="AI117" t="s">
        <v>168</v>
      </c>
      <c r="AJ117">
        <v>0</v>
      </c>
      <c r="AK117">
        <v>2</v>
      </c>
    </row>
    <row r="118" spans="1:37">
      <c r="A118" t="s">
        <v>533</v>
      </c>
      <c r="B118">
        <v>10218</v>
      </c>
      <c r="C118">
        <v>0</v>
      </c>
      <c r="D118">
        <v>3</v>
      </c>
      <c r="E118">
        <v>0</v>
      </c>
      <c r="F118">
        <v>3</v>
      </c>
      <c r="G118">
        <v>5</v>
      </c>
      <c r="H118">
        <v>3</v>
      </c>
      <c r="I118">
        <v>0</v>
      </c>
      <c r="J118">
        <v>66149</v>
      </c>
      <c r="K118">
        <v>0</v>
      </c>
      <c r="L118">
        <v>20</v>
      </c>
      <c r="M118" t="s">
        <v>76</v>
      </c>
      <c r="N118" t="s">
        <v>47</v>
      </c>
      <c r="O118">
        <v>1824</v>
      </c>
      <c r="P118" t="s">
        <v>534</v>
      </c>
      <c r="Q118" t="s">
        <v>78</v>
      </c>
      <c r="R118" t="s">
        <v>238</v>
      </c>
      <c r="S118" t="s">
        <v>51</v>
      </c>
      <c r="T118" t="s">
        <v>52</v>
      </c>
      <c r="U118" t="s">
        <v>535</v>
      </c>
      <c r="V118" t="s">
        <v>112</v>
      </c>
      <c r="W118" s="1">
        <f t="shared" si="10"/>
        <v>41547</v>
      </c>
      <c r="Y118" t="s">
        <v>55</v>
      </c>
      <c r="Z118" t="s">
        <v>56</v>
      </c>
      <c r="AA118" t="s">
        <v>57</v>
      </c>
      <c r="AB118" t="s">
        <v>81</v>
      </c>
      <c r="AC118">
        <v>20</v>
      </c>
      <c r="AD118" t="s">
        <v>95</v>
      </c>
      <c r="AE118" t="s">
        <v>73</v>
      </c>
      <c r="AF118">
        <v>4.4000000000000004</v>
      </c>
      <c r="AG118">
        <v>5</v>
      </c>
      <c r="AH118">
        <v>0</v>
      </c>
      <c r="AI118" t="s">
        <v>253</v>
      </c>
      <c r="AJ118">
        <v>0</v>
      </c>
      <c r="AK118">
        <v>1</v>
      </c>
    </row>
    <row r="119" spans="1:37">
      <c r="A119" t="s">
        <v>536</v>
      </c>
      <c r="B119">
        <v>10256</v>
      </c>
      <c r="C119">
        <v>1</v>
      </c>
      <c r="D119">
        <v>1</v>
      </c>
      <c r="E119">
        <v>0</v>
      </c>
      <c r="F119">
        <v>3</v>
      </c>
      <c r="G119">
        <v>5</v>
      </c>
      <c r="H119">
        <v>3</v>
      </c>
      <c r="I119">
        <v>0</v>
      </c>
      <c r="J119">
        <v>49256</v>
      </c>
      <c r="K119">
        <v>0</v>
      </c>
      <c r="L119">
        <v>19</v>
      </c>
      <c r="M119" t="s">
        <v>46</v>
      </c>
      <c r="N119" t="s">
        <v>47</v>
      </c>
      <c r="O119">
        <v>1864</v>
      </c>
      <c r="P119" t="s">
        <v>537</v>
      </c>
      <c r="Q119" t="s">
        <v>78</v>
      </c>
      <c r="R119" t="s">
        <v>65</v>
      </c>
      <c r="S119" t="s">
        <v>51</v>
      </c>
      <c r="T119" t="s">
        <v>52</v>
      </c>
      <c r="U119" t="s">
        <v>182</v>
      </c>
      <c r="V119" t="s">
        <v>189</v>
      </c>
      <c r="W119" s="1">
        <f t="shared" si="10"/>
        <v>41505</v>
      </c>
      <c r="Y119" t="s">
        <v>55</v>
      </c>
      <c r="Z119" t="s">
        <v>56</v>
      </c>
      <c r="AA119" t="s">
        <v>57</v>
      </c>
      <c r="AB119" t="s">
        <v>81</v>
      </c>
      <c r="AC119">
        <v>20</v>
      </c>
      <c r="AD119" t="s">
        <v>59</v>
      </c>
      <c r="AE119" t="s">
        <v>73</v>
      </c>
      <c r="AF119">
        <v>4.0999999999999996</v>
      </c>
      <c r="AG119">
        <v>5</v>
      </c>
      <c r="AH119">
        <v>0</v>
      </c>
      <c r="AI119" t="s">
        <v>538</v>
      </c>
      <c r="AJ119">
        <v>0</v>
      </c>
      <c r="AK119">
        <v>3</v>
      </c>
    </row>
    <row r="120" spans="1:37">
      <c r="A120" t="s">
        <v>539</v>
      </c>
      <c r="B120">
        <v>10098</v>
      </c>
      <c r="C120">
        <v>0</v>
      </c>
      <c r="D120">
        <v>2</v>
      </c>
      <c r="E120">
        <v>1</v>
      </c>
      <c r="F120">
        <v>1</v>
      </c>
      <c r="G120">
        <v>5</v>
      </c>
      <c r="H120">
        <v>3</v>
      </c>
      <c r="I120">
        <v>0</v>
      </c>
      <c r="J120">
        <v>62957</v>
      </c>
      <c r="K120">
        <v>0</v>
      </c>
      <c r="L120">
        <v>18</v>
      </c>
      <c r="M120" t="s">
        <v>217</v>
      </c>
      <c r="N120" t="s">
        <v>47</v>
      </c>
      <c r="O120">
        <v>1752</v>
      </c>
      <c r="P120" t="s">
        <v>540</v>
      </c>
      <c r="Q120" t="s">
        <v>49</v>
      </c>
      <c r="R120" t="s">
        <v>90</v>
      </c>
      <c r="S120" t="s">
        <v>51</v>
      </c>
      <c r="T120" t="s">
        <v>52</v>
      </c>
      <c r="U120" t="s">
        <v>53</v>
      </c>
      <c r="V120" t="s">
        <v>541</v>
      </c>
      <c r="W120" s="1">
        <f t="shared" si="10"/>
        <v>42157</v>
      </c>
      <c r="Y120" t="s">
        <v>55</v>
      </c>
      <c r="Z120" t="s">
        <v>56</v>
      </c>
      <c r="AA120" t="s">
        <v>57</v>
      </c>
      <c r="AB120" t="s">
        <v>221</v>
      </c>
      <c r="AC120">
        <v>2</v>
      </c>
      <c r="AD120" t="s">
        <v>114</v>
      </c>
      <c r="AE120" t="s">
        <v>73</v>
      </c>
      <c r="AF120">
        <v>4.63</v>
      </c>
      <c r="AG120">
        <v>3</v>
      </c>
      <c r="AH120">
        <v>0</v>
      </c>
      <c r="AI120" t="s">
        <v>406</v>
      </c>
      <c r="AJ120">
        <v>0</v>
      </c>
      <c r="AK120">
        <v>2</v>
      </c>
    </row>
    <row r="121" spans="1:37">
      <c r="A121" t="s">
        <v>542</v>
      </c>
      <c r="B121">
        <v>10059</v>
      </c>
      <c r="C121">
        <v>0</v>
      </c>
      <c r="D121">
        <v>2</v>
      </c>
      <c r="E121">
        <v>0</v>
      </c>
      <c r="F121">
        <v>5</v>
      </c>
      <c r="G121">
        <v>5</v>
      </c>
      <c r="H121">
        <v>3</v>
      </c>
      <c r="I121">
        <v>0</v>
      </c>
      <c r="J121">
        <v>63813</v>
      </c>
      <c r="K121">
        <v>1</v>
      </c>
      <c r="L121">
        <v>19</v>
      </c>
      <c r="M121" t="s">
        <v>46</v>
      </c>
      <c r="N121" t="s">
        <v>47</v>
      </c>
      <c r="O121">
        <v>2176</v>
      </c>
      <c r="P121" t="s">
        <v>543</v>
      </c>
      <c r="Q121" t="s">
        <v>78</v>
      </c>
      <c r="R121" t="s">
        <v>90</v>
      </c>
      <c r="S121" t="s">
        <v>51</v>
      </c>
      <c r="T121" t="s">
        <v>52</v>
      </c>
      <c r="U121" t="s">
        <v>53</v>
      </c>
      <c r="V121" t="s">
        <v>160</v>
      </c>
      <c r="W121" s="1">
        <f t="shared" si="10"/>
        <v>40595</v>
      </c>
      <c r="X121" t="s">
        <v>544</v>
      </c>
      <c r="Y121" t="s">
        <v>378</v>
      </c>
      <c r="Z121" t="s">
        <v>69</v>
      </c>
      <c r="AA121" t="s">
        <v>57</v>
      </c>
      <c r="AB121" t="s">
        <v>151</v>
      </c>
      <c r="AC121">
        <v>18</v>
      </c>
      <c r="AD121" t="s">
        <v>196</v>
      </c>
      <c r="AE121" t="s">
        <v>73</v>
      </c>
      <c r="AF121">
        <v>5</v>
      </c>
      <c r="AG121">
        <v>5</v>
      </c>
      <c r="AH121">
        <v>0</v>
      </c>
      <c r="AI121" t="s">
        <v>545</v>
      </c>
      <c r="AJ121">
        <v>0</v>
      </c>
      <c r="AK121">
        <v>17</v>
      </c>
    </row>
    <row r="122" spans="1:37">
      <c r="A122" t="s">
        <v>546</v>
      </c>
      <c r="B122">
        <v>10234</v>
      </c>
      <c r="C122">
        <v>1</v>
      </c>
      <c r="D122">
        <v>1</v>
      </c>
      <c r="E122">
        <v>1</v>
      </c>
      <c r="F122">
        <v>1</v>
      </c>
      <c r="G122">
        <v>3</v>
      </c>
      <c r="H122">
        <v>3</v>
      </c>
      <c r="I122">
        <v>0</v>
      </c>
      <c r="J122">
        <v>99020</v>
      </c>
      <c r="K122">
        <v>0</v>
      </c>
      <c r="L122">
        <v>4</v>
      </c>
      <c r="M122" t="s">
        <v>383</v>
      </c>
      <c r="N122" t="s">
        <v>47</v>
      </c>
      <c r="O122">
        <v>2134</v>
      </c>
      <c r="P122" t="s">
        <v>547</v>
      </c>
      <c r="Q122" t="s">
        <v>49</v>
      </c>
      <c r="R122" t="s">
        <v>65</v>
      </c>
      <c r="S122" t="s">
        <v>51</v>
      </c>
      <c r="T122" t="s">
        <v>52</v>
      </c>
      <c r="U122" t="s">
        <v>118</v>
      </c>
      <c r="V122" t="s">
        <v>548</v>
      </c>
      <c r="W122" s="1">
        <f t="shared" si="10"/>
        <v>42845</v>
      </c>
      <c r="Y122" t="s">
        <v>55</v>
      </c>
      <c r="Z122" t="s">
        <v>56</v>
      </c>
      <c r="AA122" t="s">
        <v>70</v>
      </c>
      <c r="AB122" t="s">
        <v>386</v>
      </c>
      <c r="AC122">
        <v>13</v>
      </c>
      <c r="AD122" t="s">
        <v>72</v>
      </c>
      <c r="AE122" t="s">
        <v>73</v>
      </c>
      <c r="AF122">
        <v>4.2</v>
      </c>
      <c r="AG122">
        <v>5</v>
      </c>
      <c r="AH122">
        <v>5</v>
      </c>
      <c r="AI122" t="s">
        <v>343</v>
      </c>
      <c r="AJ122">
        <v>0</v>
      </c>
      <c r="AK122">
        <v>8</v>
      </c>
    </row>
    <row r="123" spans="1:37">
      <c r="A123" t="s">
        <v>549</v>
      </c>
      <c r="B123">
        <v>10109</v>
      </c>
      <c r="C123">
        <v>0</v>
      </c>
      <c r="D123">
        <v>0</v>
      </c>
      <c r="E123">
        <v>1</v>
      </c>
      <c r="F123">
        <v>5</v>
      </c>
      <c r="G123">
        <v>6</v>
      </c>
      <c r="H123">
        <v>3</v>
      </c>
      <c r="I123">
        <v>0</v>
      </c>
      <c r="J123">
        <v>71707</v>
      </c>
      <c r="K123">
        <v>1</v>
      </c>
      <c r="L123">
        <v>3</v>
      </c>
      <c r="M123" t="s">
        <v>242</v>
      </c>
      <c r="N123" t="s">
        <v>550</v>
      </c>
      <c r="O123">
        <v>37129</v>
      </c>
      <c r="P123" t="s">
        <v>551</v>
      </c>
      <c r="Q123" t="s">
        <v>49</v>
      </c>
      <c r="R123" t="s">
        <v>50</v>
      </c>
      <c r="S123" t="s">
        <v>51</v>
      </c>
      <c r="T123" t="s">
        <v>52</v>
      </c>
      <c r="U123" t="s">
        <v>149</v>
      </c>
      <c r="V123" t="s">
        <v>552</v>
      </c>
      <c r="W123" s="1">
        <f t="shared" si="10"/>
        <v>40975</v>
      </c>
      <c r="X123" t="s">
        <v>553</v>
      </c>
      <c r="Y123" t="s">
        <v>298</v>
      </c>
      <c r="Z123" t="s">
        <v>69</v>
      </c>
      <c r="AA123" t="s">
        <v>247</v>
      </c>
      <c r="AB123" t="s">
        <v>248</v>
      </c>
      <c r="AC123">
        <v>17</v>
      </c>
      <c r="AD123" t="s">
        <v>59</v>
      </c>
      <c r="AE123" t="s">
        <v>73</v>
      </c>
      <c r="AF123">
        <v>4.5</v>
      </c>
      <c r="AG123">
        <v>5</v>
      </c>
      <c r="AH123">
        <v>0</v>
      </c>
      <c r="AI123" t="s">
        <v>554</v>
      </c>
      <c r="AJ123">
        <v>0</v>
      </c>
      <c r="AK123">
        <v>20</v>
      </c>
    </row>
    <row r="124" spans="1:37">
      <c r="A124" t="s">
        <v>555</v>
      </c>
      <c r="B124">
        <v>10125</v>
      </c>
      <c r="C124">
        <v>1</v>
      </c>
      <c r="D124">
        <v>1</v>
      </c>
      <c r="E124">
        <v>0</v>
      </c>
      <c r="F124">
        <v>1</v>
      </c>
      <c r="G124">
        <v>5</v>
      </c>
      <c r="H124">
        <v>3</v>
      </c>
      <c r="I124">
        <v>0</v>
      </c>
      <c r="J124">
        <v>54828</v>
      </c>
      <c r="K124">
        <v>0</v>
      </c>
      <c r="L124">
        <v>19</v>
      </c>
      <c r="M124" t="s">
        <v>46</v>
      </c>
      <c r="N124" t="s">
        <v>47</v>
      </c>
      <c r="O124">
        <v>2127</v>
      </c>
      <c r="P124" t="s">
        <v>556</v>
      </c>
      <c r="Q124" t="s">
        <v>78</v>
      </c>
      <c r="R124" t="s">
        <v>65</v>
      </c>
      <c r="S124" t="s">
        <v>51</v>
      </c>
      <c r="T124" t="s">
        <v>52</v>
      </c>
      <c r="U124" t="s">
        <v>53</v>
      </c>
      <c r="V124" t="s">
        <v>557</v>
      </c>
      <c r="W124" s="1">
        <f t="shared" si="10"/>
        <v>40875</v>
      </c>
      <c r="Y124" t="s">
        <v>55</v>
      </c>
      <c r="Z124" t="s">
        <v>56</v>
      </c>
      <c r="AA124" t="s">
        <v>57</v>
      </c>
      <c r="AB124" t="s">
        <v>58</v>
      </c>
      <c r="AC124">
        <v>22</v>
      </c>
      <c r="AD124" t="s">
        <v>95</v>
      </c>
      <c r="AE124" t="s">
        <v>73</v>
      </c>
      <c r="AF124">
        <v>4.2</v>
      </c>
      <c r="AG124">
        <v>4</v>
      </c>
      <c r="AH124">
        <v>0</v>
      </c>
      <c r="AI124" t="s">
        <v>263</v>
      </c>
      <c r="AJ124">
        <v>0</v>
      </c>
      <c r="AK124">
        <v>13</v>
      </c>
    </row>
    <row r="125" spans="1:37">
      <c r="A125" t="s">
        <v>558</v>
      </c>
      <c r="B125">
        <v>10074</v>
      </c>
      <c r="C125">
        <v>0</v>
      </c>
      <c r="D125">
        <v>0</v>
      </c>
      <c r="E125">
        <v>1</v>
      </c>
      <c r="F125">
        <v>1</v>
      </c>
      <c r="G125">
        <v>5</v>
      </c>
      <c r="H125">
        <v>3</v>
      </c>
      <c r="I125">
        <v>0</v>
      </c>
      <c r="J125">
        <v>64246</v>
      </c>
      <c r="K125">
        <v>0</v>
      </c>
      <c r="L125">
        <v>20</v>
      </c>
      <c r="M125" t="s">
        <v>76</v>
      </c>
      <c r="N125" t="s">
        <v>47</v>
      </c>
      <c r="O125">
        <v>2155</v>
      </c>
      <c r="P125" t="s">
        <v>559</v>
      </c>
      <c r="Q125" t="s">
        <v>49</v>
      </c>
      <c r="R125" t="s">
        <v>50</v>
      </c>
      <c r="S125" t="s">
        <v>51</v>
      </c>
      <c r="T125" t="s">
        <v>131</v>
      </c>
      <c r="U125" t="s">
        <v>53</v>
      </c>
      <c r="V125" t="s">
        <v>239</v>
      </c>
      <c r="W125" s="1">
        <f t="shared" si="10"/>
        <v>41589</v>
      </c>
      <c r="Y125" t="s">
        <v>55</v>
      </c>
      <c r="Z125" t="s">
        <v>56</v>
      </c>
      <c r="AA125" t="s">
        <v>57</v>
      </c>
      <c r="AB125" t="s">
        <v>151</v>
      </c>
      <c r="AC125">
        <v>18</v>
      </c>
      <c r="AD125" t="s">
        <v>59</v>
      </c>
      <c r="AE125" t="s">
        <v>73</v>
      </c>
      <c r="AF125">
        <v>5</v>
      </c>
      <c r="AG125">
        <v>3</v>
      </c>
      <c r="AH125">
        <v>0</v>
      </c>
      <c r="AI125" t="s">
        <v>560</v>
      </c>
      <c r="AJ125">
        <v>0</v>
      </c>
      <c r="AK125">
        <v>20</v>
      </c>
    </row>
    <row r="126" spans="1:37">
      <c r="A126" t="s">
        <v>561</v>
      </c>
      <c r="B126">
        <v>10097</v>
      </c>
      <c r="C126">
        <v>0</v>
      </c>
      <c r="D126">
        <v>0</v>
      </c>
      <c r="E126">
        <v>0</v>
      </c>
      <c r="F126">
        <v>5</v>
      </c>
      <c r="G126">
        <v>5</v>
      </c>
      <c r="H126">
        <v>3</v>
      </c>
      <c r="I126">
        <v>0</v>
      </c>
      <c r="J126">
        <v>52177</v>
      </c>
      <c r="K126">
        <v>1</v>
      </c>
      <c r="L126">
        <v>19</v>
      </c>
      <c r="M126" t="s">
        <v>46</v>
      </c>
      <c r="N126" t="s">
        <v>47</v>
      </c>
      <c r="O126">
        <v>2324</v>
      </c>
      <c r="P126" t="s">
        <v>562</v>
      </c>
      <c r="Q126" t="s">
        <v>78</v>
      </c>
      <c r="R126" t="s">
        <v>50</v>
      </c>
      <c r="S126" t="s">
        <v>51</v>
      </c>
      <c r="T126" t="s">
        <v>52</v>
      </c>
      <c r="U126" t="s">
        <v>53</v>
      </c>
      <c r="V126" t="s">
        <v>99</v>
      </c>
      <c r="W126" s="1">
        <f t="shared" si="10"/>
        <v>40917</v>
      </c>
      <c r="X126" t="s">
        <v>563</v>
      </c>
      <c r="Y126" t="s">
        <v>220</v>
      </c>
      <c r="Z126" t="s">
        <v>69</v>
      </c>
      <c r="AA126" t="s">
        <v>57</v>
      </c>
      <c r="AB126" t="s">
        <v>94</v>
      </c>
      <c r="AC126">
        <v>39</v>
      </c>
      <c r="AD126" t="s">
        <v>196</v>
      </c>
      <c r="AE126" t="s">
        <v>73</v>
      </c>
      <c r="AF126">
        <v>4.6399999999999997</v>
      </c>
      <c r="AG126">
        <v>4</v>
      </c>
      <c r="AH126">
        <v>0</v>
      </c>
      <c r="AI126" t="s">
        <v>564</v>
      </c>
      <c r="AJ126">
        <v>0</v>
      </c>
      <c r="AK126">
        <v>8</v>
      </c>
    </row>
    <row r="127" spans="1:37">
      <c r="A127" t="s">
        <v>565</v>
      </c>
      <c r="B127">
        <v>10007</v>
      </c>
      <c r="C127">
        <v>1</v>
      </c>
      <c r="D127">
        <v>1</v>
      </c>
      <c r="E127">
        <v>0</v>
      </c>
      <c r="F127">
        <v>1</v>
      </c>
      <c r="G127">
        <v>5</v>
      </c>
      <c r="H127">
        <v>4</v>
      </c>
      <c r="I127">
        <v>0</v>
      </c>
      <c r="J127">
        <v>62065</v>
      </c>
      <c r="K127">
        <v>0</v>
      </c>
      <c r="L127">
        <v>19</v>
      </c>
      <c r="M127" t="s">
        <v>46</v>
      </c>
      <c r="N127" t="s">
        <v>47</v>
      </c>
      <c r="O127">
        <v>1886</v>
      </c>
      <c r="P127" t="s">
        <v>566</v>
      </c>
      <c r="Q127" t="s">
        <v>78</v>
      </c>
      <c r="R127" t="s">
        <v>65</v>
      </c>
      <c r="S127" t="s">
        <v>51</v>
      </c>
      <c r="T127" t="s">
        <v>52</v>
      </c>
      <c r="U127" t="s">
        <v>53</v>
      </c>
      <c r="V127" t="s">
        <v>285</v>
      </c>
      <c r="W127" s="1">
        <f t="shared" si="10"/>
        <v>41771</v>
      </c>
      <c r="Y127" t="s">
        <v>55</v>
      </c>
      <c r="Z127" t="s">
        <v>56</v>
      </c>
      <c r="AA127" t="s">
        <v>57</v>
      </c>
      <c r="AB127" t="s">
        <v>100</v>
      </c>
      <c r="AC127">
        <v>11</v>
      </c>
      <c r="AD127" t="s">
        <v>196</v>
      </c>
      <c r="AE127" t="s">
        <v>60</v>
      </c>
      <c r="AF127">
        <v>4.76</v>
      </c>
      <c r="AG127">
        <v>4</v>
      </c>
      <c r="AH127">
        <v>0</v>
      </c>
      <c r="AI127" t="s">
        <v>538</v>
      </c>
      <c r="AJ127">
        <v>0</v>
      </c>
      <c r="AK127">
        <v>5</v>
      </c>
    </row>
    <row r="128" spans="1:37">
      <c r="A128" t="s">
        <v>567</v>
      </c>
      <c r="B128">
        <v>10129</v>
      </c>
      <c r="C128">
        <v>0</v>
      </c>
      <c r="D128">
        <v>0</v>
      </c>
      <c r="E128">
        <v>1</v>
      </c>
      <c r="F128">
        <v>1</v>
      </c>
      <c r="G128">
        <v>5</v>
      </c>
      <c r="H128">
        <v>3</v>
      </c>
      <c r="I128">
        <v>0</v>
      </c>
      <c r="J128">
        <v>46998</v>
      </c>
      <c r="K128">
        <v>0</v>
      </c>
      <c r="L128">
        <v>19</v>
      </c>
      <c r="M128" t="s">
        <v>46</v>
      </c>
      <c r="N128" t="s">
        <v>47</v>
      </c>
      <c r="O128">
        <v>2149</v>
      </c>
      <c r="P128" t="s">
        <v>568</v>
      </c>
      <c r="Q128" t="s">
        <v>49</v>
      </c>
      <c r="R128" t="s">
        <v>50</v>
      </c>
      <c r="S128" t="s">
        <v>51</v>
      </c>
      <c r="T128" t="s">
        <v>52</v>
      </c>
      <c r="U128" t="s">
        <v>53</v>
      </c>
      <c r="V128" t="s">
        <v>569</v>
      </c>
      <c r="W128" s="1">
        <f t="shared" si="10"/>
        <v>41134</v>
      </c>
      <c r="Y128" t="s">
        <v>55</v>
      </c>
      <c r="Z128" t="s">
        <v>56</v>
      </c>
      <c r="AA128" t="s">
        <v>57</v>
      </c>
      <c r="AB128" t="s">
        <v>113</v>
      </c>
      <c r="AC128">
        <v>19</v>
      </c>
      <c r="AD128" t="s">
        <v>95</v>
      </c>
      <c r="AE128" t="s">
        <v>73</v>
      </c>
      <c r="AF128">
        <v>4.17</v>
      </c>
      <c r="AG128">
        <v>4</v>
      </c>
      <c r="AH128">
        <v>0</v>
      </c>
      <c r="AI128" t="s">
        <v>570</v>
      </c>
      <c r="AJ128">
        <v>0</v>
      </c>
      <c r="AK128">
        <v>1</v>
      </c>
    </row>
    <row r="129" spans="1:37">
      <c r="A129" t="s">
        <v>571</v>
      </c>
      <c r="B129">
        <v>10075</v>
      </c>
      <c r="C129">
        <v>0</v>
      </c>
      <c r="D129">
        <v>0</v>
      </c>
      <c r="E129">
        <v>0</v>
      </c>
      <c r="F129">
        <v>5</v>
      </c>
      <c r="G129">
        <v>5</v>
      </c>
      <c r="H129">
        <v>3</v>
      </c>
      <c r="I129">
        <v>0</v>
      </c>
      <c r="J129">
        <v>68099</v>
      </c>
      <c r="K129">
        <v>1</v>
      </c>
      <c r="L129">
        <v>20</v>
      </c>
      <c r="M129" t="s">
        <v>76</v>
      </c>
      <c r="N129" t="s">
        <v>47</v>
      </c>
      <c r="O129">
        <v>2021</v>
      </c>
      <c r="P129" t="s">
        <v>572</v>
      </c>
      <c r="Q129" t="s">
        <v>78</v>
      </c>
      <c r="R129" t="s">
        <v>50</v>
      </c>
      <c r="S129" t="s">
        <v>51</v>
      </c>
      <c r="T129" t="s">
        <v>52</v>
      </c>
      <c r="U129" t="s">
        <v>53</v>
      </c>
      <c r="V129" t="s">
        <v>132</v>
      </c>
      <c r="W129" s="1">
        <f t="shared" si="10"/>
        <v>40553</v>
      </c>
      <c r="X129" t="s">
        <v>573</v>
      </c>
      <c r="Y129" t="s">
        <v>80</v>
      </c>
      <c r="Z129" t="s">
        <v>69</v>
      </c>
      <c r="AA129" t="s">
        <v>57</v>
      </c>
      <c r="AB129" t="s">
        <v>151</v>
      </c>
      <c r="AC129">
        <v>18</v>
      </c>
      <c r="AD129" t="s">
        <v>196</v>
      </c>
      <c r="AE129" t="s">
        <v>73</v>
      </c>
      <c r="AF129">
        <v>5</v>
      </c>
      <c r="AG129">
        <v>3</v>
      </c>
      <c r="AH129">
        <v>0</v>
      </c>
      <c r="AI129" t="s">
        <v>574</v>
      </c>
      <c r="AJ129">
        <v>0</v>
      </c>
      <c r="AK129">
        <v>15</v>
      </c>
    </row>
    <row r="130" spans="1:37">
      <c r="A130" t="s">
        <v>575</v>
      </c>
      <c r="B130">
        <v>10167</v>
      </c>
      <c r="C130">
        <v>1</v>
      </c>
      <c r="D130">
        <v>1</v>
      </c>
      <c r="E130">
        <v>1</v>
      </c>
      <c r="F130">
        <v>1</v>
      </c>
      <c r="G130">
        <v>6</v>
      </c>
      <c r="H130">
        <v>3</v>
      </c>
      <c r="I130">
        <v>0</v>
      </c>
      <c r="J130">
        <v>70545</v>
      </c>
      <c r="K130">
        <v>0</v>
      </c>
      <c r="L130">
        <v>3</v>
      </c>
      <c r="M130" t="s">
        <v>242</v>
      </c>
      <c r="N130" t="s">
        <v>576</v>
      </c>
      <c r="O130">
        <v>3062</v>
      </c>
      <c r="P130" t="s">
        <v>577</v>
      </c>
      <c r="Q130" t="s">
        <v>49</v>
      </c>
      <c r="R130" t="s">
        <v>65</v>
      </c>
      <c r="S130" t="s">
        <v>51</v>
      </c>
      <c r="T130" t="s">
        <v>52</v>
      </c>
      <c r="U130" t="s">
        <v>535</v>
      </c>
      <c r="V130" t="s">
        <v>276</v>
      </c>
      <c r="W130" s="1">
        <f t="shared" si="10"/>
        <v>41869</v>
      </c>
      <c r="Y130" t="s">
        <v>55</v>
      </c>
      <c r="Z130" t="s">
        <v>56</v>
      </c>
      <c r="AA130" t="s">
        <v>247</v>
      </c>
      <c r="AB130" t="s">
        <v>248</v>
      </c>
      <c r="AC130">
        <v>17</v>
      </c>
      <c r="AD130" t="s">
        <v>72</v>
      </c>
      <c r="AE130" t="s">
        <v>73</v>
      </c>
      <c r="AF130">
        <v>3.6</v>
      </c>
      <c r="AG130">
        <v>5</v>
      </c>
      <c r="AH130">
        <v>0</v>
      </c>
      <c r="AI130" t="s">
        <v>266</v>
      </c>
      <c r="AJ130">
        <v>0</v>
      </c>
      <c r="AK130">
        <v>9</v>
      </c>
    </row>
    <row r="131" spans="1:37">
      <c r="A131" t="s">
        <v>578</v>
      </c>
      <c r="B131">
        <v>10195</v>
      </c>
      <c r="C131">
        <v>1</v>
      </c>
      <c r="D131">
        <v>1</v>
      </c>
      <c r="E131">
        <v>0</v>
      </c>
      <c r="F131">
        <v>5</v>
      </c>
      <c r="G131">
        <v>5</v>
      </c>
      <c r="H131">
        <v>3</v>
      </c>
      <c r="I131">
        <v>0</v>
      </c>
      <c r="J131">
        <v>63478</v>
      </c>
      <c r="K131">
        <v>1</v>
      </c>
      <c r="L131">
        <v>20</v>
      </c>
      <c r="M131" t="s">
        <v>76</v>
      </c>
      <c r="N131" t="s">
        <v>47</v>
      </c>
      <c r="O131">
        <v>2445</v>
      </c>
      <c r="P131" t="s">
        <v>579</v>
      </c>
      <c r="Q131" t="s">
        <v>78</v>
      </c>
      <c r="R131" t="s">
        <v>65</v>
      </c>
      <c r="S131" t="s">
        <v>302</v>
      </c>
      <c r="T131" t="s">
        <v>52</v>
      </c>
      <c r="U131" t="s">
        <v>53</v>
      </c>
      <c r="V131" t="s">
        <v>245</v>
      </c>
      <c r="W131" s="1">
        <f t="shared" si="10"/>
        <v>40770</v>
      </c>
      <c r="X131" t="s">
        <v>580</v>
      </c>
      <c r="Y131" t="s">
        <v>298</v>
      </c>
      <c r="Z131" t="s">
        <v>69</v>
      </c>
      <c r="AA131" t="s">
        <v>57</v>
      </c>
      <c r="AB131" t="s">
        <v>58</v>
      </c>
      <c r="AC131">
        <v>30</v>
      </c>
      <c r="AD131" t="s">
        <v>72</v>
      </c>
      <c r="AE131" t="s">
        <v>73</v>
      </c>
      <c r="AF131">
        <v>3.03</v>
      </c>
      <c r="AG131">
        <v>5</v>
      </c>
      <c r="AH131">
        <v>0</v>
      </c>
      <c r="AI131" t="s">
        <v>252</v>
      </c>
      <c r="AJ131">
        <v>0</v>
      </c>
      <c r="AK131">
        <v>16</v>
      </c>
    </row>
    <row r="132" spans="1:37">
      <c r="A132" t="s">
        <v>581</v>
      </c>
      <c r="B132">
        <v>10112</v>
      </c>
      <c r="C132">
        <v>0</v>
      </c>
      <c r="D132">
        <v>0</v>
      </c>
      <c r="E132">
        <v>0</v>
      </c>
      <c r="F132">
        <v>1</v>
      </c>
      <c r="G132">
        <v>3</v>
      </c>
      <c r="H132">
        <v>3</v>
      </c>
      <c r="I132">
        <v>0</v>
      </c>
      <c r="J132">
        <v>97999</v>
      </c>
      <c r="K132">
        <v>0</v>
      </c>
      <c r="L132">
        <v>8</v>
      </c>
      <c r="M132" t="s">
        <v>174</v>
      </c>
      <c r="N132" t="s">
        <v>47</v>
      </c>
      <c r="O132">
        <v>2493</v>
      </c>
      <c r="P132" t="s">
        <v>582</v>
      </c>
      <c r="Q132" t="s">
        <v>78</v>
      </c>
      <c r="R132" t="s">
        <v>50</v>
      </c>
      <c r="S132" t="s">
        <v>51</v>
      </c>
      <c r="T132" t="s">
        <v>52</v>
      </c>
      <c r="U132" t="s">
        <v>53</v>
      </c>
      <c r="V132" t="s">
        <v>66</v>
      </c>
      <c r="W132" s="1">
        <f t="shared" si="10"/>
        <v>42093</v>
      </c>
      <c r="Y132" t="s">
        <v>55</v>
      </c>
      <c r="Z132" t="s">
        <v>56</v>
      </c>
      <c r="AA132" t="s">
        <v>70</v>
      </c>
      <c r="AB132" t="s">
        <v>71</v>
      </c>
      <c r="AC132">
        <v>4</v>
      </c>
      <c r="AD132" t="s">
        <v>72</v>
      </c>
      <c r="AE132" t="s">
        <v>73</v>
      </c>
      <c r="AF132">
        <v>4.4800000000000004</v>
      </c>
      <c r="AG132">
        <v>5</v>
      </c>
      <c r="AH132">
        <v>6</v>
      </c>
      <c r="AI132" t="s">
        <v>87</v>
      </c>
      <c r="AJ132">
        <v>0</v>
      </c>
      <c r="AK132">
        <v>4</v>
      </c>
    </row>
    <row r="133" spans="1:37">
      <c r="A133" t="s">
        <v>583</v>
      </c>
      <c r="B133">
        <v>10272</v>
      </c>
      <c r="C133">
        <v>1</v>
      </c>
      <c r="D133">
        <v>1</v>
      </c>
      <c r="E133">
        <v>0</v>
      </c>
      <c r="F133">
        <v>1</v>
      </c>
      <c r="G133">
        <v>6</v>
      </c>
      <c r="H133">
        <v>3</v>
      </c>
      <c r="I133">
        <v>0</v>
      </c>
      <c r="J133">
        <v>180000</v>
      </c>
      <c r="K133">
        <v>0</v>
      </c>
      <c r="L133">
        <v>11</v>
      </c>
      <c r="M133" t="s">
        <v>584</v>
      </c>
      <c r="N133" t="s">
        <v>585</v>
      </c>
      <c r="O133">
        <v>2908</v>
      </c>
      <c r="P133" t="s">
        <v>586</v>
      </c>
      <c r="Q133" t="s">
        <v>78</v>
      </c>
      <c r="R133" t="s">
        <v>65</v>
      </c>
      <c r="S133" t="s">
        <v>51</v>
      </c>
      <c r="T133" t="s">
        <v>52</v>
      </c>
      <c r="U133" t="s">
        <v>53</v>
      </c>
      <c r="V133" t="s">
        <v>350</v>
      </c>
      <c r="W133" s="1">
        <f t="shared" si="10"/>
        <v>41764</v>
      </c>
      <c r="Y133" t="s">
        <v>55</v>
      </c>
      <c r="Z133" t="s">
        <v>56</v>
      </c>
      <c r="AA133" t="s">
        <v>247</v>
      </c>
      <c r="AB133" t="s">
        <v>221</v>
      </c>
      <c r="AC133">
        <v>2</v>
      </c>
      <c r="AD133" t="s">
        <v>59</v>
      </c>
      <c r="AE133" t="s">
        <v>73</v>
      </c>
      <c r="AF133">
        <v>4.5</v>
      </c>
      <c r="AG133">
        <v>4</v>
      </c>
      <c r="AH133">
        <v>0</v>
      </c>
      <c r="AI133" t="s">
        <v>240</v>
      </c>
      <c r="AJ133">
        <v>0</v>
      </c>
      <c r="AK133">
        <v>19</v>
      </c>
    </row>
    <row r="134" spans="1:37">
      <c r="A134" t="s">
        <v>587</v>
      </c>
      <c r="B134">
        <v>10182</v>
      </c>
      <c r="C134">
        <v>1</v>
      </c>
      <c r="D134">
        <v>1</v>
      </c>
      <c r="E134">
        <v>0</v>
      </c>
      <c r="F134">
        <v>1</v>
      </c>
      <c r="G134">
        <v>1</v>
      </c>
      <c r="H134">
        <v>3</v>
      </c>
      <c r="I134">
        <v>0</v>
      </c>
      <c r="J134">
        <v>49920</v>
      </c>
      <c r="K134">
        <v>1</v>
      </c>
      <c r="L134">
        <v>2</v>
      </c>
      <c r="M134" t="s">
        <v>588</v>
      </c>
      <c r="N134" t="s">
        <v>47</v>
      </c>
      <c r="O134">
        <v>2170</v>
      </c>
      <c r="P134" t="s">
        <v>589</v>
      </c>
      <c r="Q134" t="s">
        <v>78</v>
      </c>
      <c r="R134" t="s">
        <v>65</v>
      </c>
      <c r="S134" t="s">
        <v>51</v>
      </c>
      <c r="T134" t="s">
        <v>52</v>
      </c>
      <c r="U134" t="s">
        <v>118</v>
      </c>
      <c r="V134" t="s">
        <v>213</v>
      </c>
      <c r="W134" s="1">
        <f t="shared" si="10"/>
        <v>42051</v>
      </c>
      <c r="X134" t="s">
        <v>590</v>
      </c>
      <c r="Y134" t="s">
        <v>436</v>
      </c>
      <c r="Z134" t="s">
        <v>163</v>
      </c>
      <c r="AA134" t="s">
        <v>214</v>
      </c>
      <c r="AB134" t="s">
        <v>215</v>
      </c>
      <c r="AC134">
        <v>1</v>
      </c>
      <c r="AD134" t="s">
        <v>72</v>
      </c>
      <c r="AE134" t="s">
        <v>73</v>
      </c>
      <c r="AF134">
        <v>3.24</v>
      </c>
      <c r="AG134">
        <v>3</v>
      </c>
      <c r="AH134">
        <v>4</v>
      </c>
      <c r="AI134" t="s">
        <v>590</v>
      </c>
      <c r="AJ134">
        <v>0</v>
      </c>
      <c r="AK134">
        <v>6</v>
      </c>
    </row>
    <row r="135" spans="1:37">
      <c r="A135" t="s">
        <v>591</v>
      </c>
      <c r="B135">
        <v>10248</v>
      </c>
      <c r="C135">
        <v>0</v>
      </c>
      <c r="D135">
        <v>0</v>
      </c>
      <c r="E135">
        <v>0</v>
      </c>
      <c r="F135">
        <v>1</v>
      </c>
      <c r="G135">
        <v>5</v>
      </c>
      <c r="H135">
        <v>3</v>
      </c>
      <c r="I135">
        <v>0</v>
      </c>
      <c r="J135">
        <v>55425</v>
      </c>
      <c r="K135">
        <v>0</v>
      </c>
      <c r="L135">
        <v>19</v>
      </c>
      <c r="M135" t="s">
        <v>46</v>
      </c>
      <c r="N135" t="s">
        <v>47</v>
      </c>
      <c r="O135">
        <v>2176</v>
      </c>
      <c r="P135" t="s">
        <v>592</v>
      </c>
      <c r="Q135" t="s">
        <v>78</v>
      </c>
      <c r="R135" t="s">
        <v>50</v>
      </c>
      <c r="S135" t="s">
        <v>51</v>
      </c>
      <c r="T135" t="s">
        <v>52</v>
      </c>
      <c r="U135" t="s">
        <v>53</v>
      </c>
      <c r="V135" t="s">
        <v>150</v>
      </c>
      <c r="W135" s="1">
        <f t="shared" si="10"/>
        <v>40959</v>
      </c>
      <c r="Y135" t="s">
        <v>55</v>
      </c>
      <c r="Z135" t="s">
        <v>56</v>
      </c>
      <c r="AA135" t="s">
        <v>57</v>
      </c>
      <c r="AB135" t="s">
        <v>113</v>
      </c>
      <c r="AC135">
        <v>19</v>
      </c>
      <c r="AD135" t="s">
        <v>59</v>
      </c>
      <c r="AE135" t="s">
        <v>73</v>
      </c>
      <c r="AF135">
        <v>4.8</v>
      </c>
      <c r="AG135">
        <v>4</v>
      </c>
      <c r="AH135">
        <v>0</v>
      </c>
      <c r="AI135" t="s">
        <v>101</v>
      </c>
      <c r="AJ135">
        <v>0</v>
      </c>
      <c r="AK135">
        <v>4</v>
      </c>
    </row>
    <row r="136" spans="1:37">
      <c r="A136" t="s">
        <v>593</v>
      </c>
      <c r="B136">
        <v>10201</v>
      </c>
      <c r="C136">
        <v>0</v>
      </c>
      <c r="D136">
        <v>0</v>
      </c>
      <c r="E136">
        <v>0</v>
      </c>
      <c r="F136">
        <v>2</v>
      </c>
      <c r="G136">
        <v>5</v>
      </c>
      <c r="H136">
        <v>3</v>
      </c>
      <c r="I136">
        <v>0</v>
      </c>
      <c r="J136">
        <v>69340</v>
      </c>
      <c r="K136">
        <v>0</v>
      </c>
      <c r="L136">
        <v>20</v>
      </c>
      <c r="M136" t="s">
        <v>76</v>
      </c>
      <c r="N136" t="s">
        <v>47</v>
      </c>
      <c r="O136">
        <v>2021</v>
      </c>
      <c r="P136" t="s">
        <v>594</v>
      </c>
      <c r="Q136" t="s">
        <v>78</v>
      </c>
      <c r="R136" t="s">
        <v>50</v>
      </c>
      <c r="S136" t="s">
        <v>51</v>
      </c>
      <c r="T136" t="s">
        <v>52</v>
      </c>
      <c r="U136" t="s">
        <v>53</v>
      </c>
      <c r="V136" t="s">
        <v>595</v>
      </c>
      <c r="W136" s="1">
        <f t="shared" si="10"/>
        <v>42527</v>
      </c>
      <c r="Y136" t="s">
        <v>55</v>
      </c>
      <c r="Z136" t="s">
        <v>56</v>
      </c>
      <c r="AA136" t="s">
        <v>57</v>
      </c>
      <c r="AB136" t="s">
        <v>86</v>
      </c>
      <c r="AC136">
        <v>16</v>
      </c>
      <c r="AD136" t="s">
        <v>59</v>
      </c>
      <c r="AE136" t="s">
        <v>73</v>
      </c>
      <c r="AF136">
        <v>3</v>
      </c>
      <c r="AG136">
        <v>5</v>
      </c>
      <c r="AH136">
        <v>0</v>
      </c>
      <c r="AI136" t="s">
        <v>397</v>
      </c>
      <c r="AJ136">
        <v>0</v>
      </c>
      <c r="AK136">
        <v>4</v>
      </c>
    </row>
    <row r="137" spans="1:37">
      <c r="A137" t="s">
        <v>596</v>
      </c>
      <c r="B137">
        <v>10214</v>
      </c>
      <c r="C137">
        <v>0</v>
      </c>
      <c r="D137">
        <v>3</v>
      </c>
      <c r="E137">
        <v>0</v>
      </c>
      <c r="F137">
        <v>2</v>
      </c>
      <c r="G137">
        <v>5</v>
      </c>
      <c r="H137">
        <v>3</v>
      </c>
      <c r="I137">
        <v>0</v>
      </c>
      <c r="J137">
        <v>64995</v>
      </c>
      <c r="K137">
        <v>0</v>
      </c>
      <c r="L137">
        <v>20</v>
      </c>
      <c r="M137" t="s">
        <v>76</v>
      </c>
      <c r="N137" t="s">
        <v>47</v>
      </c>
      <c r="O137">
        <v>2351</v>
      </c>
      <c r="P137" t="s">
        <v>597</v>
      </c>
      <c r="Q137" t="s">
        <v>78</v>
      </c>
      <c r="R137" t="s">
        <v>238</v>
      </c>
      <c r="S137" t="s">
        <v>51</v>
      </c>
      <c r="T137" t="s">
        <v>52</v>
      </c>
      <c r="U137" t="s">
        <v>53</v>
      </c>
      <c r="V137" t="s">
        <v>598</v>
      </c>
      <c r="W137" s="1">
        <f t="shared" si="10"/>
        <v>42160</v>
      </c>
      <c r="Y137" t="s">
        <v>55</v>
      </c>
      <c r="Z137" t="s">
        <v>56</v>
      </c>
      <c r="AA137" t="s">
        <v>57</v>
      </c>
      <c r="AB137" t="s">
        <v>94</v>
      </c>
      <c r="AD137" t="s">
        <v>72</v>
      </c>
      <c r="AE137" t="s">
        <v>73</v>
      </c>
      <c r="AF137">
        <v>4.5</v>
      </c>
      <c r="AG137">
        <v>3</v>
      </c>
      <c r="AH137">
        <v>0</v>
      </c>
      <c r="AI137" t="s">
        <v>152</v>
      </c>
      <c r="AJ137">
        <v>0</v>
      </c>
      <c r="AK137">
        <v>6</v>
      </c>
    </row>
    <row r="138" spans="1:37">
      <c r="A138" t="s">
        <v>599</v>
      </c>
      <c r="B138">
        <v>10160</v>
      </c>
      <c r="C138">
        <v>0</v>
      </c>
      <c r="D138">
        <v>2</v>
      </c>
      <c r="E138">
        <v>0</v>
      </c>
      <c r="F138">
        <v>5</v>
      </c>
      <c r="G138">
        <v>5</v>
      </c>
      <c r="H138">
        <v>3</v>
      </c>
      <c r="I138">
        <v>0</v>
      </c>
      <c r="J138">
        <v>68182</v>
      </c>
      <c r="K138">
        <v>1</v>
      </c>
      <c r="L138">
        <v>20</v>
      </c>
      <c r="M138" t="s">
        <v>76</v>
      </c>
      <c r="N138" t="s">
        <v>47</v>
      </c>
      <c r="O138">
        <v>1742</v>
      </c>
      <c r="P138" t="s">
        <v>600</v>
      </c>
      <c r="Q138" t="s">
        <v>78</v>
      </c>
      <c r="R138" t="s">
        <v>90</v>
      </c>
      <c r="S138" t="s">
        <v>51</v>
      </c>
      <c r="T138" t="s">
        <v>52</v>
      </c>
      <c r="U138" t="s">
        <v>53</v>
      </c>
      <c r="V138" t="s">
        <v>160</v>
      </c>
      <c r="W138" s="1">
        <f t="shared" si="10"/>
        <v>40595</v>
      </c>
      <c r="X138" t="s">
        <v>601</v>
      </c>
      <c r="Y138" t="s">
        <v>141</v>
      </c>
      <c r="Z138" t="s">
        <v>69</v>
      </c>
      <c r="AA138" t="s">
        <v>57</v>
      </c>
      <c r="AB138" t="s">
        <v>100</v>
      </c>
      <c r="AC138">
        <v>11</v>
      </c>
      <c r="AD138" t="s">
        <v>95</v>
      </c>
      <c r="AE138" t="s">
        <v>73</v>
      </c>
      <c r="AF138">
        <v>3.72</v>
      </c>
      <c r="AG138">
        <v>3</v>
      </c>
      <c r="AH138">
        <v>0</v>
      </c>
      <c r="AI138" t="s">
        <v>554</v>
      </c>
      <c r="AJ138">
        <v>0</v>
      </c>
      <c r="AK138">
        <v>18</v>
      </c>
    </row>
    <row r="139" spans="1:37">
      <c r="A139" t="s">
        <v>602</v>
      </c>
      <c r="B139">
        <v>10289</v>
      </c>
      <c r="C139">
        <v>1</v>
      </c>
      <c r="D139">
        <v>1</v>
      </c>
      <c r="E139">
        <v>1</v>
      </c>
      <c r="F139">
        <v>5</v>
      </c>
      <c r="G139">
        <v>5</v>
      </c>
      <c r="H139">
        <v>2</v>
      </c>
      <c r="I139">
        <v>0</v>
      </c>
      <c r="J139">
        <v>83082</v>
      </c>
      <c r="K139">
        <v>1</v>
      </c>
      <c r="L139">
        <v>18</v>
      </c>
      <c r="M139" t="s">
        <v>217</v>
      </c>
      <c r="N139" t="s">
        <v>47</v>
      </c>
      <c r="O139">
        <v>2128</v>
      </c>
      <c r="P139" t="s">
        <v>603</v>
      </c>
      <c r="Q139" t="s">
        <v>49</v>
      </c>
      <c r="R139" t="s">
        <v>65</v>
      </c>
      <c r="S139" t="s">
        <v>51</v>
      </c>
      <c r="T139" t="s">
        <v>52</v>
      </c>
      <c r="U139" t="s">
        <v>182</v>
      </c>
      <c r="V139" t="s">
        <v>160</v>
      </c>
      <c r="W139" s="1">
        <f t="shared" si="10"/>
        <v>40595</v>
      </c>
      <c r="X139" t="s">
        <v>79</v>
      </c>
      <c r="Y139" t="s">
        <v>141</v>
      </c>
      <c r="Z139" t="s">
        <v>69</v>
      </c>
      <c r="AA139" t="s">
        <v>57</v>
      </c>
      <c r="AB139" t="s">
        <v>221</v>
      </c>
      <c r="AC139">
        <v>2</v>
      </c>
      <c r="AD139" t="s">
        <v>72</v>
      </c>
      <c r="AE139" t="s">
        <v>197</v>
      </c>
      <c r="AF139">
        <v>2.34</v>
      </c>
      <c r="AG139">
        <v>2</v>
      </c>
      <c r="AH139">
        <v>0</v>
      </c>
      <c r="AI139" t="s">
        <v>604</v>
      </c>
      <c r="AJ139">
        <v>3</v>
      </c>
      <c r="AK139">
        <v>4</v>
      </c>
    </row>
    <row r="140" spans="1:37">
      <c r="A140" t="s">
        <v>605</v>
      </c>
      <c r="B140">
        <v>10139</v>
      </c>
      <c r="C140">
        <v>0</v>
      </c>
      <c r="D140">
        <v>0</v>
      </c>
      <c r="E140">
        <v>0</v>
      </c>
      <c r="F140">
        <v>1</v>
      </c>
      <c r="G140">
        <v>5</v>
      </c>
      <c r="H140">
        <v>3</v>
      </c>
      <c r="I140">
        <v>0</v>
      </c>
      <c r="J140">
        <v>51908</v>
      </c>
      <c r="K140">
        <v>0</v>
      </c>
      <c r="L140">
        <v>19</v>
      </c>
      <c r="M140" t="s">
        <v>46</v>
      </c>
      <c r="N140" t="s">
        <v>47</v>
      </c>
      <c r="O140">
        <v>1775</v>
      </c>
      <c r="P140" t="s">
        <v>606</v>
      </c>
      <c r="Q140" t="s">
        <v>78</v>
      </c>
      <c r="R140" t="s">
        <v>50</v>
      </c>
      <c r="S140" t="s">
        <v>51</v>
      </c>
      <c r="T140" t="s">
        <v>52</v>
      </c>
      <c r="U140" t="s">
        <v>53</v>
      </c>
      <c r="V140" t="s">
        <v>189</v>
      </c>
      <c r="W140" s="1">
        <f t="shared" si="10"/>
        <v>41505</v>
      </c>
      <c r="Y140" t="s">
        <v>55</v>
      </c>
      <c r="Z140" t="s">
        <v>56</v>
      </c>
      <c r="AA140" t="s">
        <v>57</v>
      </c>
      <c r="AB140" t="s">
        <v>120</v>
      </c>
      <c r="AC140">
        <v>12</v>
      </c>
      <c r="AD140" t="s">
        <v>72</v>
      </c>
      <c r="AE140" t="s">
        <v>73</v>
      </c>
      <c r="AF140">
        <v>3.99</v>
      </c>
      <c r="AG140">
        <v>3</v>
      </c>
      <c r="AH140">
        <v>0</v>
      </c>
      <c r="AI140" t="s">
        <v>168</v>
      </c>
      <c r="AJ140">
        <v>0</v>
      </c>
      <c r="AK140">
        <v>14</v>
      </c>
    </row>
    <row r="141" spans="1:37">
      <c r="A141" t="s">
        <v>607</v>
      </c>
      <c r="B141">
        <v>10227</v>
      </c>
      <c r="C141">
        <v>0</v>
      </c>
      <c r="D141">
        <v>0</v>
      </c>
      <c r="E141">
        <v>0</v>
      </c>
      <c r="F141">
        <v>1</v>
      </c>
      <c r="G141">
        <v>5</v>
      </c>
      <c r="H141">
        <v>3</v>
      </c>
      <c r="I141">
        <v>0</v>
      </c>
      <c r="J141">
        <v>61242</v>
      </c>
      <c r="K141">
        <v>0</v>
      </c>
      <c r="L141">
        <v>19</v>
      </c>
      <c r="M141" t="s">
        <v>46</v>
      </c>
      <c r="N141" t="s">
        <v>47</v>
      </c>
      <c r="O141">
        <v>2081</v>
      </c>
      <c r="P141" t="s">
        <v>608</v>
      </c>
      <c r="Q141" t="s">
        <v>78</v>
      </c>
      <c r="R141" t="s">
        <v>50</v>
      </c>
      <c r="S141" t="s">
        <v>51</v>
      </c>
      <c r="T141" t="s">
        <v>52</v>
      </c>
      <c r="U141" t="s">
        <v>118</v>
      </c>
      <c r="V141" t="s">
        <v>609</v>
      </c>
      <c r="W141" s="1">
        <f t="shared" si="10"/>
        <v>41218</v>
      </c>
      <c r="Y141" t="s">
        <v>55</v>
      </c>
      <c r="Z141" t="s">
        <v>56</v>
      </c>
      <c r="AA141" t="s">
        <v>57</v>
      </c>
      <c r="AB141" t="s">
        <v>135</v>
      </c>
      <c r="AC141">
        <v>14</v>
      </c>
      <c r="AD141" t="s">
        <v>59</v>
      </c>
      <c r="AE141" t="s">
        <v>73</v>
      </c>
      <c r="AF141">
        <v>4.0999999999999996</v>
      </c>
      <c r="AG141">
        <v>3</v>
      </c>
      <c r="AH141">
        <v>0</v>
      </c>
      <c r="AI141" t="s">
        <v>61</v>
      </c>
      <c r="AJ141">
        <v>0</v>
      </c>
      <c r="AK141">
        <v>7</v>
      </c>
    </row>
    <row r="142" spans="1:37">
      <c r="A142" t="s">
        <v>610</v>
      </c>
      <c r="B142">
        <v>10236</v>
      </c>
      <c r="C142">
        <v>0</v>
      </c>
      <c r="D142">
        <v>2</v>
      </c>
      <c r="E142">
        <v>0</v>
      </c>
      <c r="F142">
        <v>1</v>
      </c>
      <c r="G142">
        <v>5</v>
      </c>
      <c r="H142">
        <v>3</v>
      </c>
      <c r="I142">
        <v>0</v>
      </c>
      <c r="J142">
        <v>45069</v>
      </c>
      <c r="K142">
        <v>0</v>
      </c>
      <c r="L142">
        <v>19</v>
      </c>
      <c r="M142" t="s">
        <v>46</v>
      </c>
      <c r="N142" t="s">
        <v>47</v>
      </c>
      <c r="O142">
        <v>1778</v>
      </c>
      <c r="P142" t="s">
        <v>611</v>
      </c>
      <c r="Q142" t="s">
        <v>78</v>
      </c>
      <c r="R142" t="s">
        <v>90</v>
      </c>
      <c r="S142" t="s">
        <v>51</v>
      </c>
      <c r="T142" t="s">
        <v>52</v>
      </c>
      <c r="U142" t="s">
        <v>53</v>
      </c>
      <c r="V142" t="s">
        <v>112</v>
      </c>
      <c r="W142" s="1">
        <f t="shared" si="10"/>
        <v>41547</v>
      </c>
      <c r="Y142" t="s">
        <v>55</v>
      </c>
      <c r="Z142" t="s">
        <v>56</v>
      </c>
      <c r="AA142" t="s">
        <v>57</v>
      </c>
      <c r="AB142" t="s">
        <v>81</v>
      </c>
      <c r="AC142">
        <v>20</v>
      </c>
      <c r="AD142" t="s">
        <v>114</v>
      </c>
      <c r="AE142" t="s">
        <v>73</v>
      </c>
      <c r="AF142">
        <v>4.3</v>
      </c>
      <c r="AG142">
        <v>5</v>
      </c>
      <c r="AH142">
        <v>0</v>
      </c>
      <c r="AI142" t="s">
        <v>263</v>
      </c>
      <c r="AJ142">
        <v>0</v>
      </c>
      <c r="AK142">
        <v>7</v>
      </c>
    </row>
    <row r="143" spans="1:37">
      <c r="A143" t="s">
        <v>612</v>
      </c>
      <c r="B143">
        <v>10009</v>
      </c>
      <c r="C143">
        <v>0</v>
      </c>
      <c r="D143">
        <v>2</v>
      </c>
      <c r="E143">
        <v>0</v>
      </c>
      <c r="F143">
        <v>1</v>
      </c>
      <c r="G143">
        <v>5</v>
      </c>
      <c r="H143">
        <v>4</v>
      </c>
      <c r="I143">
        <v>0</v>
      </c>
      <c r="J143">
        <v>60724</v>
      </c>
      <c r="K143">
        <v>0</v>
      </c>
      <c r="L143">
        <v>20</v>
      </c>
      <c r="M143" t="s">
        <v>76</v>
      </c>
      <c r="N143" t="s">
        <v>47</v>
      </c>
      <c r="O143">
        <v>1821</v>
      </c>
      <c r="P143" t="s">
        <v>613</v>
      </c>
      <c r="Q143" t="s">
        <v>78</v>
      </c>
      <c r="R143" t="s">
        <v>90</v>
      </c>
      <c r="S143" t="s">
        <v>51</v>
      </c>
      <c r="T143" t="s">
        <v>52</v>
      </c>
      <c r="U143" t="s">
        <v>535</v>
      </c>
      <c r="V143" t="s">
        <v>54</v>
      </c>
      <c r="W143" s="1">
        <f t="shared" si="10"/>
        <v>40729</v>
      </c>
      <c r="Y143" t="s">
        <v>55</v>
      </c>
      <c r="Z143" t="s">
        <v>56</v>
      </c>
      <c r="AA143" t="s">
        <v>57</v>
      </c>
      <c r="AB143" t="s">
        <v>113</v>
      </c>
      <c r="AC143">
        <v>19</v>
      </c>
      <c r="AD143" t="s">
        <v>59</v>
      </c>
      <c r="AE143" t="s">
        <v>60</v>
      </c>
      <c r="AF143">
        <v>4.5999999999999996</v>
      </c>
      <c r="AG143">
        <v>4</v>
      </c>
      <c r="AH143">
        <v>0</v>
      </c>
      <c r="AI143" t="s">
        <v>115</v>
      </c>
      <c r="AJ143">
        <v>0</v>
      </c>
      <c r="AK143">
        <v>11</v>
      </c>
    </row>
    <row r="144" spans="1:37">
      <c r="A144" t="s">
        <v>614</v>
      </c>
      <c r="B144">
        <v>10060</v>
      </c>
      <c r="C144">
        <v>0</v>
      </c>
      <c r="D144">
        <v>3</v>
      </c>
      <c r="E144">
        <v>0</v>
      </c>
      <c r="F144">
        <v>1</v>
      </c>
      <c r="G144">
        <v>5</v>
      </c>
      <c r="H144">
        <v>3</v>
      </c>
      <c r="I144">
        <v>0</v>
      </c>
      <c r="J144">
        <v>60436</v>
      </c>
      <c r="K144">
        <v>0</v>
      </c>
      <c r="L144">
        <v>19</v>
      </c>
      <c r="M144" t="s">
        <v>46</v>
      </c>
      <c r="N144" t="s">
        <v>47</v>
      </c>
      <c r="O144">
        <v>2109</v>
      </c>
      <c r="P144" t="s">
        <v>615</v>
      </c>
      <c r="Q144" t="s">
        <v>78</v>
      </c>
      <c r="R144" t="s">
        <v>238</v>
      </c>
      <c r="S144" t="s">
        <v>51</v>
      </c>
      <c r="T144" t="s">
        <v>52</v>
      </c>
      <c r="U144" t="s">
        <v>53</v>
      </c>
      <c r="V144" t="s">
        <v>616</v>
      </c>
      <c r="W144" s="1">
        <f t="shared" si="10"/>
        <v>41645</v>
      </c>
      <c r="Y144" t="s">
        <v>55</v>
      </c>
      <c r="Z144" t="s">
        <v>56</v>
      </c>
      <c r="AA144" t="s">
        <v>57</v>
      </c>
      <c r="AB144" t="s">
        <v>151</v>
      </c>
      <c r="AC144">
        <v>18</v>
      </c>
      <c r="AD144" t="s">
        <v>59</v>
      </c>
      <c r="AE144" t="s">
        <v>73</v>
      </c>
      <c r="AF144">
        <v>5</v>
      </c>
      <c r="AG144">
        <v>5</v>
      </c>
      <c r="AH144">
        <v>0</v>
      </c>
      <c r="AI144" t="s">
        <v>240</v>
      </c>
      <c r="AJ144">
        <v>0</v>
      </c>
      <c r="AK144">
        <v>9</v>
      </c>
    </row>
    <row r="145" spans="1:37">
      <c r="A145" t="s">
        <v>617</v>
      </c>
      <c r="B145">
        <v>10034</v>
      </c>
      <c r="C145">
        <v>1</v>
      </c>
      <c r="D145">
        <v>1</v>
      </c>
      <c r="E145">
        <v>1</v>
      </c>
      <c r="F145">
        <v>5</v>
      </c>
      <c r="G145">
        <v>5</v>
      </c>
      <c r="H145">
        <v>4</v>
      </c>
      <c r="I145">
        <v>0</v>
      </c>
      <c r="J145">
        <v>46837</v>
      </c>
      <c r="K145">
        <v>1</v>
      </c>
      <c r="L145">
        <v>19</v>
      </c>
      <c r="M145" t="s">
        <v>46</v>
      </c>
      <c r="N145" t="s">
        <v>47</v>
      </c>
      <c r="O145">
        <v>2445</v>
      </c>
      <c r="P145" t="s">
        <v>618</v>
      </c>
      <c r="Q145" t="s">
        <v>49</v>
      </c>
      <c r="R145" t="s">
        <v>65</v>
      </c>
      <c r="S145" t="s">
        <v>51</v>
      </c>
      <c r="T145" t="s">
        <v>52</v>
      </c>
      <c r="U145" t="s">
        <v>53</v>
      </c>
      <c r="V145" t="s">
        <v>360</v>
      </c>
      <c r="W145" s="1">
        <f t="shared" si="10"/>
        <v>40854</v>
      </c>
      <c r="X145" t="s">
        <v>619</v>
      </c>
      <c r="Y145" t="s">
        <v>378</v>
      </c>
      <c r="Z145" t="s">
        <v>69</v>
      </c>
      <c r="AA145" t="s">
        <v>57</v>
      </c>
      <c r="AB145" t="s">
        <v>58</v>
      </c>
      <c r="AC145">
        <v>22</v>
      </c>
      <c r="AD145" t="s">
        <v>196</v>
      </c>
      <c r="AE145" t="s">
        <v>60</v>
      </c>
      <c r="AF145">
        <v>4.7</v>
      </c>
      <c r="AG145">
        <v>4</v>
      </c>
      <c r="AH145">
        <v>0</v>
      </c>
      <c r="AI145" t="s">
        <v>620</v>
      </c>
      <c r="AJ145">
        <v>0</v>
      </c>
      <c r="AK145">
        <v>9</v>
      </c>
    </row>
    <row r="146" spans="1:37">
      <c r="A146" t="s">
        <v>621</v>
      </c>
      <c r="B146">
        <v>10156</v>
      </c>
      <c r="C146">
        <v>1</v>
      </c>
      <c r="D146">
        <v>1</v>
      </c>
      <c r="E146">
        <v>0</v>
      </c>
      <c r="F146">
        <v>3</v>
      </c>
      <c r="G146">
        <v>3</v>
      </c>
      <c r="H146">
        <v>3</v>
      </c>
      <c r="I146">
        <v>0</v>
      </c>
      <c r="J146">
        <v>105700</v>
      </c>
      <c r="K146">
        <v>0</v>
      </c>
      <c r="L146">
        <v>8</v>
      </c>
      <c r="M146" t="s">
        <v>174</v>
      </c>
      <c r="N146" t="s">
        <v>47</v>
      </c>
      <c r="O146">
        <v>2301</v>
      </c>
      <c r="P146" t="s">
        <v>622</v>
      </c>
      <c r="Q146" t="s">
        <v>78</v>
      </c>
      <c r="R146" t="s">
        <v>65</v>
      </c>
      <c r="S146" t="s">
        <v>51</v>
      </c>
      <c r="T146" t="s">
        <v>52</v>
      </c>
      <c r="U146" t="s">
        <v>182</v>
      </c>
      <c r="V146" t="s">
        <v>126</v>
      </c>
      <c r="W146" s="1">
        <f t="shared" si="10"/>
        <v>42009</v>
      </c>
      <c r="Y146" t="s">
        <v>55</v>
      </c>
      <c r="Z146" t="s">
        <v>56</v>
      </c>
      <c r="AA146" t="s">
        <v>70</v>
      </c>
      <c r="AB146" t="s">
        <v>71</v>
      </c>
      <c r="AC146">
        <v>4</v>
      </c>
      <c r="AD146" t="s">
        <v>72</v>
      </c>
      <c r="AE146" t="s">
        <v>73</v>
      </c>
      <c r="AF146">
        <v>3.75</v>
      </c>
      <c r="AG146">
        <v>3</v>
      </c>
      <c r="AH146">
        <v>5</v>
      </c>
      <c r="AI146" t="s">
        <v>570</v>
      </c>
      <c r="AJ146">
        <v>0</v>
      </c>
      <c r="AK146">
        <v>2</v>
      </c>
    </row>
    <row r="147" spans="1:37">
      <c r="A147" t="s">
        <v>623</v>
      </c>
      <c r="B147">
        <v>10036</v>
      </c>
      <c r="C147">
        <v>0</v>
      </c>
      <c r="D147">
        <v>0</v>
      </c>
      <c r="E147">
        <v>0</v>
      </c>
      <c r="F147">
        <v>1</v>
      </c>
      <c r="G147">
        <v>5</v>
      </c>
      <c r="H147">
        <v>4</v>
      </c>
      <c r="I147">
        <v>0</v>
      </c>
      <c r="J147">
        <v>63322</v>
      </c>
      <c r="K147">
        <v>0</v>
      </c>
      <c r="L147">
        <v>20</v>
      </c>
      <c r="M147" t="s">
        <v>76</v>
      </c>
      <c r="N147" t="s">
        <v>47</v>
      </c>
      <c r="O147">
        <v>2128</v>
      </c>
      <c r="P147" t="s">
        <v>624</v>
      </c>
      <c r="Q147" t="s">
        <v>78</v>
      </c>
      <c r="R147" t="s">
        <v>50</v>
      </c>
      <c r="S147" t="s">
        <v>51</v>
      </c>
      <c r="T147" t="s">
        <v>52</v>
      </c>
      <c r="U147" t="s">
        <v>53</v>
      </c>
      <c r="V147" t="s">
        <v>176</v>
      </c>
      <c r="W147" s="1">
        <f t="shared" si="10"/>
        <v>41827</v>
      </c>
      <c r="Y147" t="s">
        <v>55</v>
      </c>
      <c r="Z147" t="s">
        <v>56</v>
      </c>
      <c r="AA147" t="s">
        <v>57</v>
      </c>
      <c r="AB147" t="s">
        <v>120</v>
      </c>
      <c r="AC147">
        <v>12</v>
      </c>
      <c r="AD147" t="s">
        <v>59</v>
      </c>
      <c r="AE147" t="s">
        <v>60</v>
      </c>
      <c r="AF147">
        <v>4.3</v>
      </c>
      <c r="AG147">
        <v>3</v>
      </c>
      <c r="AH147">
        <v>0</v>
      </c>
      <c r="AI147" t="s">
        <v>184</v>
      </c>
      <c r="AJ147">
        <v>0</v>
      </c>
      <c r="AK147">
        <v>1</v>
      </c>
    </row>
    <row r="148" spans="1:37">
      <c r="A148" t="s">
        <v>625</v>
      </c>
      <c r="B148">
        <v>10138</v>
      </c>
      <c r="C148">
        <v>1</v>
      </c>
      <c r="D148">
        <v>1</v>
      </c>
      <c r="E148">
        <v>0</v>
      </c>
      <c r="F148">
        <v>5</v>
      </c>
      <c r="G148">
        <v>5</v>
      </c>
      <c r="H148">
        <v>3</v>
      </c>
      <c r="I148">
        <v>0</v>
      </c>
      <c r="J148">
        <v>61154</v>
      </c>
      <c r="K148">
        <v>1</v>
      </c>
      <c r="L148">
        <v>19</v>
      </c>
      <c r="M148" t="s">
        <v>46</v>
      </c>
      <c r="N148" t="s">
        <v>47</v>
      </c>
      <c r="O148">
        <v>2446</v>
      </c>
      <c r="P148" t="s">
        <v>626</v>
      </c>
      <c r="Q148" t="s">
        <v>78</v>
      </c>
      <c r="R148" t="s">
        <v>65</v>
      </c>
      <c r="S148" t="s">
        <v>51</v>
      </c>
      <c r="T148" t="s">
        <v>52</v>
      </c>
      <c r="U148" t="s">
        <v>118</v>
      </c>
      <c r="V148" t="s">
        <v>132</v>
      </c>
      <c r="W148" s="1">
        <f t="shared" si="10"/>
        <v>40553</v>
      </c>
      <c r="X148" t="s">
        <v>627</v>
      </c>
      <c r="Y148" t="s">
        <v>141</v>
      </c>
      <c r="Z148" t="s">
        <v>69</v>
      </c>
      <c r="AA148" t="s">
        <v>57</v>
      </c>
      <c r="AB148" t="s">
        <v>86</v>
      </c>
      <c r="AC148">
        <v>16</v>
      </c>
      <c r="AD148" t="s">
        <v>196</v>
      </c>
      <c r="AE148" t="s">
        <v>73</v>
      </c>
      <c r="AF148">
        <v>4</v>
      </c>
      <c r="AG148">
        <v>4</v>
      </c>
      <c r="AH148">
        <v>0</v>
      </c>
      <c r="AI148" t="s">
        <v>628</v>
      </c>
      <c r="AJ148">
        <v>0</v>
      </c>
      <c r="AK148">
        <v>4</v>
      </c>
    </row>
    <row r="149" spans="1:37">
      <c r="A149" t="s">
        <v>629</v>
      </c>
      <c r="B149">
        <v>10244</v>
      </c>
      <c r="C149">
        <v>0</v>
      </c>
      <c r="D149">
        <v>0</v>
      </c>
      <c r="E149">
        <v>0</v>
      </c>
      <c r="F149">
        <v>5</v>
      </c>
      <c r="G149">
        <v>6</v>
      </c>
      <c r="H149">
        <v>3</v>
      </c>
      <c r="I149">
        <v>0</v>
      </c>
      <c r="J149">
        <v>68999</v>
      </c>
      <c r="K149">
        <v>1</v>
      </c>
      <c r="L149">
        <v>21</v>
      </c>
      <c r="M149" t="s">
        <v>348</v>
      </c>
      <c r="N149" t="s">
        <v>630</v>
      </c>
      <c r="O149">
        <v>19444</v>
      </c>
      <c r="P149" t="s">
        <v>631</v>
      </c>
      <c r="Q149" t="s">
        <v>78</v>
      </c>
      <c r="R149" t="s">
        <v>50</v>
      </c>
      <c r="S149" t="s">
        <v>51</v>
      </c>
      <c r="T149" t="s">
        <v>52</v>
      </c>
      <c r="U149" t="s">
        <v>53</v>
      </c>
      <c r="V149" t="s">
        <v>360</v>
      </c>
      <c r="X149" t="s">
        <v>632</v>
      </c>
      <c r="Y149" t="s">
        <v>633</v>
      </c>
      <c r="Z149" t="s">
        <v>69</v>
      </c>
      <c r="AA149" t="s">
        <v>247</v>
      </c>
      <c r="AB149" t="s">
        <v>351</v>
      </c>
      <c r="AC149">
        <v>15</v>
      </c>
      <c r="AD149" t="s">
        <v>95</v>
      </c>
      <c r="AE149" t="s">
        <v>73</v>
      </c>
      <c r="AF149">
        <v>4.5</v>
      </c>
      <c r="AG149">
        <v>5</v>
      </c>
      <c r="AH149">
        <v>0</v>
      </c>
      <c r="AI149" t="s">
        <v>634</v>
      </c>
      <c r="AJ149">
        <v>0</v>
      </c>
      <c r="AK149">
        <v>2</v>
      </c>
    </row>
    <row r="150" spans="1:37">
      <c r="A150" t="s">
        <v>635</v>
      </c>
      <c r="B150">
        <v>10192</v>
      </c>
      <c r="C150">
        <v>0</v>
      </c>
      <c r="D150">
        <v>0</v>
      </c>
      <c r="E150">
        <v>1</v>
      </c>
      <c r="F150">
        <v>1</v>
      </c>
      <c r="G150">
        <v>5</v>
      </c>
      <c r="H150">
        <v>3</v>
      </c>
      <c r="I150">
        <v>0</v>
      </c>
      <c r="J150">
        <v>50482</v>
      </c>
      <c r="K150">
        <v>0</v>
      </c>
      <c r="L150">
        <v>19</v>
      </c>
      <c r="M150" t="s">
        <v>46</v>
      </c>
      <c r="N150" t="s">
        <v>47</v>
      </c>
      <c r="O150">
        <v>1887</v>
      </c>
      <c r="P150" t="s">
        <v>636</v>
      </c>
      <c r="Q150" t="s">
        <v>49</v>
      </c>
      <c r="R150" t="s">
        <v>50</v>
      </c>
      <c r="S150" t="s">
        <v>51</v>
      </c>
      <c r="T150" t="s">
        <v>52</v>
      </c>
      <c r="U150" t="s">
        <v>53</v>
      </c>
      <c r="V150" t="s">
        <v>112</v>
      </c>
      <c r="Y150" t="s">
        <v>55</v>
      </c>
      <c r="Z150" t="s">
        <v>56</v>
      </c>
      <c r="AA150" t="s">
        <v>57</v>
      </c>
      <c r="AB150" t="s">
        <v>58</v>
      </c>
      <c r="AC150">
        <v>22</v>
      </c>
      <c r="AD150" t="s">
        <v>72</v>
      </c>
      <c r="AE150" t="s">
        <v>73</v>
      </c>
      <c r="AF150">
        <v>3.07</v>
      </c>
      <c r="AG150">
        <v>4</v>
      </c>
      <c r="AH150">
        <v>0</v>
      </c>
      <c r="AI150" t="s">
        <v>387</v>
      </c>
      <c r="AJ150">
        <v>0</v>
      </c>
      <c r="AK150">
        <v>10</v>
      </c>
    </row>
    <row r="151" spans="1:37">
      <c r="A151" t="s">
        <v>637</v>
      </c>
      <c r="B151">
        <v>10231</v>
      </c>
      <c r="C151">
        <v>0</v>
      </c>
      <c r="D151">
        <v>0</v>
      </c>
      <c r="E151">
        <v>1</v>
      </c>
      <c r="F151">
        <v>1</v>
      </c>
      <c r="G151">
        <v>6</v>
      </c>
      <c r="H151">
        <v>3</v>
      </c>
      <c r="I151">
        <v>0</v>
      </c>
      <c r="J151">
        <v>65310</v>
      </c>
      <c r="K151">
        <v>0</v>
      </c>
      <c r="L151">
        <v>3</v>
      </c>
      <c r="M151" t="s">
        <v>242</v>
      </c>
      <c r="N151" t="s">
        <v>638</v>
      </c>
      <c r="O151">
        <v>80820</v>
      </c>
      <c r="P151" t="s">
        <v>639</v>
      </c>
      <c r="Q151" t="s">
        <v>49</v>
      </c>
      <c r="R151" t="s">
        <v>50</v>
      </c>
      <c r="S151" t="s">
        <v>51</v>
      </c>
      <c r="T151" t="s">
        <v>52</v>
      </c>
      <c r="U151" t="s">
        <v>53</v>
      </c>
      <c r="V151" t="s">
        <v>189</v>
      </c>
      <c r="Y151" t="s">
        <v>55</v>
      </c>
      <c r="Z151" t="s">
        <v>56</v>
      </c>
      <c r="AA151" t="s">
        <v>247</v>
      </c>
      <c r="AB151" t="s">
        <v>292</v>
      </c>
      <c r="AC151">
        <v>21</v>
      </c>
      <c r="AD151" t="s">
        <v>72</v>
      </c>
      <c r="AE151" t="s">
        <v>73</v>
      </c>
      <c r="AF151">
        <v>4.3</v>
      </c>
      <c r="AG151">
        <v>5</v>
      </c>
      <c r="AH151">
        <v>0</v>
      </c>
      <c r="AI151" t="s">
        <v>340</v>
      </c>
      <c r="AJ151">
        <v>0</v>
      </c>
      <c r="AK151">
        <v>13</v>
      </c>
    </row>
    <row r="152" spans="1:37">
      <c r="A152" t="s">
        <v>640</v>
      </c>
      <c r="B152">
        <v>10089</v>
      </c>
      <c r="C152">
        <v>1</v>
      </c>
      <c r="D152">
        <v>1</v>
      </c>
      <c r="E152">
        <v>0</v>
      </c>
      <c r="F152">
        <v>1</v>
      </c>
      <c r="G152">
        <v>2</v>
      </c>
      <c r="H152">
        <v>3</v>
      </c>
      <c r="I152">
        <v>0</v>
      </c>
      <c r="J152">
        <v>250000</v>
      </c>
      <c r="K152">
        <v>0</v>
      </c>
      <c r="L152">
        <v>16</v>
      </c>
      <c r="M152" t="s">
        <v>641</v>
      </c>
      <c r="N152" t="s">
        <v>47</v>
      </c>
      <c r="O152">
        <v>1902</v>
      </c>
      <c r="P152" t="s">
        <v>642</v>
      </c>
      <c r="Q152" t="s">
        <v>78</v>
      </c>
      <c r="R152" t="s">
        <v>65</v>
      </c>
      <c r="S152" t="s">
        <v>51</v>
      </c>
      <c r="T152" t="s">
        <v>131</v>
      </c>
      <c r="U152" t="s">
        <v>53</v>
      </c>
      <c r="V152" t="s">
        <v>357</v>
      </c>
      <c r="Y152" t="s">
        <v>55</v>
      </c>
      <c r="Z152" t="s">
        <v>56</v>
      </c>
      <c r="AA152" t="s">
        <v>643</v>
      </c>
      <c r="AB152" t="s">
        <v>478</v>
      </c>
      <c r="AC152">
        <v>9</v>
      </c>
      <c r="AD152" t="s">
        <v>72</v>
      </c>
      <c r="AE152" t="s">
        <v>73</v>
      </c>
      <c r="AF152">
        <v>4.83</v>
      </c>
      <c r="AG152">
        <v>3</v>
      </c>
      <c r="AH152">
        <v>0</v>
      </c>
      <c r="AI152" t="s">
        <v>61</v>
      </c>
      <c r="AJ152">
        <v>0</v>
      </c>
      <c r="AK152">
        <v>10</v>
      </c>
    </row>
    <row r="153" spans="1:37">
      <c r="A153" t="s">
        <v>644</v>
      </c>
      <c r="B153">
        <v>10166</v>
      </c>
      <c r="C153">
        <v>1</v>
      </c>
      <c r="D153">
        <v>1</v>
      </c>
      <c r="E153">
        <v>0</v>
      </c>
      <c r="F153">
        <v>5</v>
      </c>
      <c r="G153">
        <v>5</v>
      </c>
      <c r="H153">
        <v>3</v>
      </c>
      <c r="I153">
        <v>0</v>
      </c>
      <c r="J153">
        <v>54005</v>
      </c>
      <c r="K153">
        <v>1</v>
      </c>
      <c r="L153">
        <v>19</v>
      </c>
      <c r="M153" t="s">
        <v>46</v>
      </c>
      <c r="N153" t="s">
        <v>47</v>
      </c>
      <c r="O153">
        <v>2170</v>
      </c>
      <c r="P153" t="s">
        <v>645</v>
      </c>
      <c r="Q153" t="s">
        <v>78</v>
      </c>
      <c r="R153" t="s">
        <v>65</v>
      </c>
      <c r="S153" t="s">
        <v>51</v>
      </c>
      <c r="T153" t="s">
        <v>52</v>
      </c>
      <c r="U153" t="s">
        <v>53</v>
      </c>
      <c r="V153" t="s">
        <v>316</v>
      </c>
      <c r="X153" t="s">
        <v>646</v>
      </c>
      <c r="Y153" t="s">
        <v>378</v>
      </c>
      <c r="Z153" t="s">
        <v>69</v>
      </c>
      <c r="AA153" t="s">
        <v>57</v>
      </c>
      <c r="AB153" t="s">
        <v>94</v>
      </c>
      <c r="AC153">
        <v>39</v>
      </c>
      <c r="AD153" t="s">
        <v>95</v>
      </c>
      <c r="AE153" t="s">
        <v>73</v>
      </c>
      <c r="AF153">
        <v>3.6</v>
      </c>
      <c r="AG153">
        <v>5</v>
      </c>
      <c r="AH153">
        <v>0</v>
      </c>
      <c r="AI153" t="s">
        <v>647</v>
      </c>
      <c r="AJ153">
        <v>0</v>
      </c>
      <c r="AK153">
        <v>16</v>
      </c>
    </row>
    <row r="154" spans="1:37">
      <c r="A154" t="s">
        <v>648</v>
      </c>
      <c r="B154">
        <v>10170</v>
      </c>
      <c r="C154">
        <v>1</v>
      </c>
      <c r="D154">
        <v>1</v>
      </c>
      <c r="E154">
        <v>0</v>
      </c>
      <c r="F154">
        <v>5</v>
      </c>
      <c r="G154">
        <v>5</v>
      </c>
      <c r="H154">
        <v>3</v>
      </c>
      <c r="I154">
        <v>0</v>
      </c>
      <c r="J154">
        <v>45433</v>
      </c>
      <c r="K154">
        <v>1</v>
      </c>
      <c r="L154">
        <v>19</v>
      </c>
      <c r="M154" t="s">
        <v>46</v>
      </c>
      <c r="N154" t="s">
        <v>47</v>
      </c>
      <c r="O154">
        <v>2127</v>
      </c>
      <c r="P154" t="s">
        <v>649</v>
      </c>
      <c r="Q154" t="s">
        <v>78</v>
      </c>
      <c r="R154" t="s">
        <v>65</v>
      </c>
      <c r="S154" t="s">
        <v>51</v>
      </c>
      <c r="T154" t="s">
        <v>52</v>
      </c>
      <c r="U154" t="s">
        <v>53</v>
      </c>
      <c r="V154" t="s">
        <v>316</v>
      </c>
      <c r="X154" t="s">
        <v>650</v>
      </c>
      <c r="Y154" t="s">
        <v>378</v>
      </c>
      <c r="Z154" t="s">
        <v>69</v>
      </c>
      <c r="AA154" t="s">
        <v>57</v>
      </c>
      <c r="AB154" t="s">
        <v>100</v>
      </c>
      <c r="AC154">
        <v>11</v>
      </c>
      <c r="AD154" t="s">
        <v>95</v>
      </c>
      <c r="AE154" t="s">
        <v>73</v>
      </c>
      <c r="AF154">
        <v>3.49</v>
      </c>
      <c r="AG154">
        <v>4</v>
      </c>
      <c r="AH154">
        <v>0</v>
      </c>
      <c r="AI154" t="s">
        <v>574</v>
      </c>
      <c r="AJ154">
        <v>0</v>
      </c>
      <c r="AK154">
        <v>6</v>
      </c>
    </row>
    <row r="155" spans="1:37">
      <c r="A155" t="s">
        <v>651</v>
      </c>
      <c r="B155">
        <v>10208</v>
      </c>
      <c r="C155">
        <v>0</v>
      </c>
      <c r="D155">
        <v>0</v>
      </c>
      <c r="E155">
        <v>1</v>
      </c>
      <c r="F155">
        <v>1</v>
      </c>
      <c r="G155">
        <v>5</v>
      </c>
      <c r="H155">
        <v>3</v>
      </c>
      <c r="I155">
        <v>0</v>
      </c>
      <c r="J155">
        <v>46654</v>
      </c>
      <c r="K155">
        <v>0</v>
      </c>
      <c r="L155">
        <v>19</v>
      </c>
      <c r="M155" t="s">
        <v>46</v>
      </c>
      <c r="N155" t="s">
        <v>47</v>
      </c>
      <c r="O155">
        <v>1721</v>
      </c>
      <c r="P155" t="s">
        <v>652</v>
      </c>
      <c r="Q155" t="s">
        <v>49</v>
      </c>
      <c r="R155" t="s">
        <v>50</v>
      </c>
      <c r="S155" t="s">
        <v>51</v>
      </c>
      <c r="T155" t="s">
        <v>52</v>
      </c>
      <c r="U155" t="s">
        <v>118</v>
      </c>
      <c r="V155" t="s">
        <v>206</v>
      </c>
      <c r="Y155" t="s">
        <v>55</v>
      </c>
      <c r="Z155" t="s">
        <v>56</v>
      </c>
      <c r="AA155" t="s">
        <v>57</v>
      </c>
      <c r="AB155" t="s">
        <v>113</v>
      </c>
      <c r="AC155">
        <v>19</v>
      </c>
      <c r="AD155" t="s">
        <v>59</v>
      </c>
      <c r="AE155" t="s">
        <v>73</v>
      </c>
      <c r="AF155">
        <v>3.1</v>
      </c>
      <c r="AG155">
        <v>3</v>
      </c>
      <c r="AH155">
        <v>0</v>
      </c>
      <c r="AI155" t="s">
        <v>653</v>
      </c>
      <c r="AJ155">
        <v>0</v>
      </c>
      <c r="AK155">
        <v>3</v>
      </c>
    </row>
    <row r="156" spans="1:37">
      <c r="A156" t="s">
        <v>654</v>
      </c>
      <c r="B156">
        <v>10176</v>
      </c>
      <c r="C156">
        <v>1</v>
      </c>
      <c r="D156">
        <v>1</v>
      </c>
      <c r="E156">
        <v>1</v>
      </c>
      <c r="F156">
        <v>1</v>
      </c>
      <c r="G156">
        <v>5</v>
      </c>
      <c r="H156">
        <v>3</v>
      </c>
      <c r="I156">
        <v>0</v>
      </c>
      <c r="J156">
        <v>63973</v>
      </c>
      <c r="K156">
        <v>0</v>
      </c>
      <c r="L156">
        <v>19</v>
      </c>
      <c r="M156" t="s">
        <v>46</v>
      </c>
      <c r="N156" t="s">
        <v>47</v>
      </c>
      <c r="O156">
        <v>1801</v>
      </c>
      <c r="P156" t="s">
        <v>655</v>
      </c>
      <c r="Q156" t="s">
        <v>49</v>
      </c>
      <c r="R156" t="s">
        <v>65</v>
      </c>
      <c r="S156" t="s">
        <v>51</v>
      </c>
      <c r="T156" t="s">
        <v>52</v>
      </c>
      <c r="U156" t="s">
        <v>182</v>
      </c>
      <c r="V156" t="s">
        <v>132</v>
      </c>
      <c r="Y156" t="s">
        <v>55</v>
      </c>
      <c r="Z156" t="s">
        <v>56</v>
      </c>
      <c r="AA156" t="s">
        <v>57</v>
      </c>
      <c r="AB156" t="s">
        <v>120</v>
      </c>
      <c r="AC156">
        <v>12</v>
      </c>
      <c r="AD156" t="s">
        <v>72</v>
      </c>
      <c r="AE156" t="s">
        <v>73</v>
      </c>
      <c r="AF156">
        <v>3.38</v>
      </c>
      <c r="AG156">
        <v>3</v>
      </c>
      <c r="AH156">
        <v>0</v>
      </c>
      <c r="AI156" t="s">
        <v>240</v>
      </c>
      <c r="AJ156">
        <v>0</v>
      </c>
      <c r="AK156">
        <v>17</v>
      </c>
    </row>
    <row r="157" spans="1:37">
      <c r="A157" t="s">
        <v>656</v>
      </c>
      <c r="B157">
        <v>10165</v>
      </c>
      <c r="C157">
        <v>0</v>
      </c>
      <c r="D157">
        <v>0</v>
      </c>
      <c r="E157">
        <v>1</v>
      </c>
      <c r="F157">
        <v>1</v>
      </c>
      <c r="G157">
        <v>6</v>
      </c>
      <c r="H157">
        <v>3</v>
      </c>
      <c r="I157">
        <v>1</v>
      </c>
      <c r="J157">
        <v>71339</v>
      </c>
      <c r="K157">
        <v>0</v>
      </c>
      <c r="L157">
        <v>3</v>
      </c>
      <c r="M157" t="s">
        <v>242</v>
      </c>
      <c r="N157" t="s">
        <v>657</v>
      </c>
      <c r="O157">
        <v>10171</v>
      </c>
      <c r="P157" t="s">
        <v>658</v>
      </c>
      <c r="Q157" t="s">
        <v>49</v>
      </c>
      <c r="R157" t="s">
        <v>50</v>
      </c>
      <c r="S157" t="s">
        <v>51</v>
      </c>
      <c r="T157" t="s">
        <v>131</v>
      </c>
      <c r="U157" t="s">
        <v>118</v>
      </c>
      <c r="V157" t="s">
        <v>659</v>
      </c>
      <c r="Y157" t="s">
        <v>55</v>
      </c>
      <c r="Z157" t="s">
        <v>56</v>
      </c>
      <c r="AA157" t="s">
        <v>247</v>
      </c>
      <c r="AB157" t="s">
        <v>248</v>
      </c>
      <c r="AC157">
        <v>17</v>
      </c>
      <c r="AD157" t="s">
        <v>121</v>
      </c>
      <c r="AE157" t="s">
        <v>73</v>
      </c>
      <c r="AF157">
        <v>3.65</v>
      </c>
      <c r="AG157">
        <v>5</v>
      </c>
      <c r="AH157">
        <v>0</v>
      </c>
      <c r="AI157" t="s">
        <v>61</v>
      </c>
      <c r="AJ157">
        <v>0</v>
      </c>
      <c r="AK157">
        <v>20</v>
      </c>
    </row>
    <row r="158" spans="1:37">
      <c r="A158" t="s">
        <v>660</v>
      </c>
      <c r="B158">
        <v>10113</v>
      </c>
      <c r="C158">
        <v>1</v>
      </c>
      <c r="D158">
        <v>1</v>
      </c>
      <c r="E158">
        <v>1</v>
      </c>
      <c r="F158">
        <v>3</v>
      </c>
      <c r="G158">
        <v>3</v>
      </c>
      <c r="H158">
        <v>3</v>
      </c>
      <c r="I158">
        <v>0</v>
      </c>
      <c r="J158">
        <v>93206</v>
      </c>
      <c r="K158">
        <v>0</v>
      </c>
      <c r="L158">
        <v>28</v>
      </c>
      <c r="M158" t="s">
        <v>345</v>
      </c>
      <c r="N158" t="s">
        <v>47</v>
      </c>
      <c r="O158">
        <v>2169</v>
      </c>
      <c r="P158" t="s">
        <v>661</v>
      </c>
      <c r="Q158" t="s">
        <v>49</v>
      </c>
      <c r="R158" t="s">
        <v>65</v>
      </c>
      <c r="S158" t="s">
        <v>51</v>
      </c>
      <c r="T158" t="s">
        <v>52</v>
      </c>
      <c r="U158" t="s">
        <v>53</v>
      </c>
      <c r="V158" t="s">
        <v>105</v>
      </c>
      <c r="Y158" t="s">
        <v>55</v>
      </c>
      <c r="Z158" t="s">
        <v>56</v>
      </c>
      <c r="AA158" t="s">
        <v>70</v>
      </c>
      <c r="AB158" t="s">
        <v>127</v>
      </c>
      <c r="AC158">
        <v>7</v>
      </c>
      <c r="AD158" t="s">
        <v>114</v>
      </c>
      <c r="AE158" t="s">
        <v>73</v>
      </c>
      <c r="AF158">
        <v>4.46</v>
      </c>
      <c r="AG158">
        <v>5</v>
      </c>
      <c r="AH158">
        <v>6</v>
      </c>
      <c r="AI158" t="s">
        <v>101</v>
      </c>
      <c r="AJ158">
        <v>0</v>
      </c>
      <c r="AK158">
        <v>7</v>
      </c>
    </row>
    <row r="159" spans="1:37">
      <c r="A159" t="s">
        <v>662</v>
      </c>
      <c r="B159">
        <v>10092</v>
      </c>
      <c r="C159">
        <v>1</v>
      </c>
      <c r="D159">
        <v>1</v>
      </c>
      <c r="E159">
        <v>1</v>
      </c>
      <c r="F159">
        <v>4</v>
      </c>
      <c r="G159">
        <v>5</v>
      </c>
      <c r="H159">
        <v>3</v>
      </c>
      <c r="I159">
        <v>0</v>
      </c>
      <c r="J159">
        <v>82758</v>
      </c>
      <c r="K159">
        <v>1</v>
      </c>
      <c r="L159">
        <v>18</v>
      </c>
      <c r="M159" t="s">
        <v>217</v>
      </c>
      <c r="N159" t="s">
        <v>47</v>
      </c>
      <c r="O159">
        <v>1890</v>
      </c>
      <c r="P159" t="s">
        <v>663</v>
      </c>
      <c r="Q159" t="s">
        <v>49</v>
      </c>
      <c r="R159" t="s">
        <v>65</v>
      </c>
      <c r="S159" t="s">
        <v>51</v>
      </c>
      <c r="T159" t="s">
        <v>52</v>
      </c>
      <c r="U159" t="s">
        <v>53</v>
      </c>
      <c r="V159" t="s">
        <v>132</v>
      </c>
      <c r="X159" t="s">
        <v>664</v>
      </c>
      <c r="Y159" t="s">
        <v>162</v>
      </c>
      <c r="Z159" t="s">
        <v>163</v>
      </c>
      <c r="AA159" t="s">
        <v>57</v>
      </c>
      <c r="AB159" t="s">
        <v>221</v>
      </c>
      <c r="AC159">
        <v>2</v>
      </c>
      <c r="AD159" t="s">
        <v>114</v>
      </c>
      <c r="AE159" t="s">
        <v>73</v>
      </c>
      <c r="AF159">
        <v>4.78</v>
      </c>
      <c r="AG159">
        <v>4</v>
      </c>
      <c r="AH159">
        <v>0</v>
      </c>
      <c r="AI159" t="s">
        <v>665</v>
      </c>
      <c r="AJ159">
        <v>0</v>
      </c>
      <c r="AK159">
        <v>9</v>
      </c>
    </row>
    <row r="160" spans="1:37">
      <c r="A160" t="s">
        <v>666</v>
      </c>
      <c r="B160">
        <v>10106</v>
      </c>
      <c r="C160">
        <v>0</v>
      </c>
      <c r="D160">
        <v>2</v>
      </c>
      <c r="E160">
        <v>0</v>
      </c>
      <c r="F160">
        <v>5</v>
      </c>
      <c r="G160">
        <v>5</v>
      </c>
      <c r="H160">
        <v>3</v>
      </c>
      <c r="I160">
        <v>0</v>
      </c>
      <c r="J160">
        <v>66074</v>
      </c>
      <c r="K160">
        <v>1</v>
      </c>
      <c r="L160">
        <v>20</v>
      </c>
      <c r="M160" t="s">
        <v>76</v>
      </c>
      <c r="N160" t="s">
        <v>47</v>
      </c>
      <c r="O160">
        <v>2090</v>
      </c>
      <c r="P160" t="s">
        <v>667</v>
      </c>
      <c r="Q160" t="s">
        <v>78</v>
      </c>
      <c r="R160" t="s">
        <v>90</v>
      </c>
      <c r="S160" t="s">
        <v>51</v>
      </c>
      <c r="T160" t="s">
        <v>52</v>
      </c>
      <c r="U160" t="s">
        <v>182</v>
      </c>
      <c r="V160" t="s">
        <v>311</v>
      </c>
      <c r="X160" t="s">
        <v>269</v>
      </c>
      <c r="Y160" t="s">
        <v>134</v>
      </c>
      <c r="Z160" t="s">
        <v>69</v>
      </c>
      <c r="AA160" t="s">
        <v>57</v>
      </c>
      <c r="AB160" t="s">
        <v>135</v>
      </c>
      <c r="AC160">
        <v>14</v>
      </c>
      <c r="AD160" t="s">
        <v>72</v>
      </c>
      <c r="AE160" t="s">
        <v>73</v>
      </c>
      <c r="AF160">
        <v>4.5199999999999996</v>
      </c>
      <c r="AG160">
        <v>3</v>
      </c>
      <c r="AH160">
        <v>0</v>
      </c>
      <c r="AI160" t="s">
        <v>222</v>
      </c>
      <c r="AJ160">
        <v>0</v>
      </c>
      <c r="AK160">
        <v>20</v>
      </c>
    </row>
    <row r="161" spans="1:37">
      <c r="A161" t="s">
        <v>668</v>
      </c>
      <c r="B161">
        <v>10052</v>
      </c>
      <c r="C161">
        <v>1</v>
      </c>
      <c r="D161">
        <v>1</v>
      </c>
      <c r="E161">
        <v>1</v>
      </c>
      <c r="F161">
        <v>1</v>
      </c>
      <c r="G161">
        <v>5</v>
      </c>
      <c r="H161">
        <v>3</v>
      </c>
      <c r="I161">
        <v>0</v>
      </c>
      <c r="J161">
        <v>46120</v>
      </c>
      <c r="K161">
        <v>0</v>
      </c>
      <c r="L161">
        <v>19</v>
      </c>
      <c r="M161" t="s">
        <v>46</v>
      </c>
      <c r="N161" t="s">
        <v>47</v>
      </c>
      <c r="O161">
        <v>2048</v>
      </c>
      <c r="P161" t="s">
        <v>669</v>
      </c>
      <c r="Q161" t="s">
        <v>49</v>
      </c>
      <c r="R161" t="s">
        <v>65</v>
      </c>
      <c r="S161" t="s">
        <v>51</v>
      </c>
      <c r="T161" t="s">
        <v>52</v>
      </c>
      <c r="U161" t="s">
        <v>53</v>
      </c>
      <c r="V161" t="s">
        <v>670</v>
      </c>
      <c r="Y161" t="s">
        <v>55</v>
      </c>
      <c r="Z161" t="s">
        <v>56</v>
      </c>
      <c r="AA161" t="s">
        <v>57</v>
      </c>
      <c r="AB161" t="s">
        <v>135</v>
      </c>
      <c r="AC161">
        <v>14</v>
      </c>
      <c r="AD161" t="s">
        <v>59</v>
      </c>
      <c r="AE161" t="s">
        <v>73</v>
      </c>
      <c r="AF161">
        <v>5</v>
      </c>
      <c r="AG161">
        <v>5</v>
      </c>
      <c r="AH161">
        <v>0</v>
      </c>
      <c r="AI161" t="s">
        <v>335</v>
      </c>
      <c r="AJ161">
        <v>0</v>
      </c>
      <c r="AK161">
        <v>13</v>
      </c>
    </row>
    <row r="162" spans="1:37">
      <c r="A162" t="s">
        <v>671</v>
      </c>
      <c r="B162">
        <v>10038</v>
      </c>
      <c r="C162">
        <v>0</v>
      </c>
      <c r="D162">
        <v>2</v>
      </c>
      <c r="E162">
        <v>1</v>
      </c>
      <c r="F162">
        <v>1</v>
      </c>
      <c r="G162">
        <v>1</v>
      </c>
      <c r="H162">
        <v>3</v>
      </c>
      <c r="I162">
        <v>0</v>
      </c>
      <c r="J162">
        <v>64520</v>
      </c>
      <c r="K162">
        <v>0</v>
      </c>
      <c r="L162">
        <v>1</v>
      </c>
      <c r="M162" t="s">
        <v>228</v>
      </c>
      <c r="N162" t="s">
        <v>47</v>
      </c>
      <c r="O162">
        <v>1460</v>
      </c>
      <c r="P162" t="s">
        <v>672</v>
      </c>
      <c r="Q162" t="s">
        <v>49</v>
      </c>
      <c r="R162" t="s">
        <v>90</v>
      </c>
      <c r="S162" t="s">
        <v>51</v>
      </c>
      <c r="T162" t="s">
        <v>52</v>
      </c>
      <c r="U162" t="s">
        <v>118</v>
      </c>
      <c r="V162" t="s">
        <v>616</v>
      </c>
      <c r="Y162" t="s">
        <v>55</v>
      </c>
      <c r="Z162" t="s">
        <v>56</v>
      </c>
      <c r="AA162" t="s">
        <v>214</v>
      </c>
      <c r="AB162" t="s">
        <v>215</v>
      </c>
      <c r="AC162">
        <v>1</v>
      </c>
      <c r="AD162" t="s">
        <v>393</v>
      </c>
      <c r="AE162" t="s">
        <v>73</v>
      </c>
      <c r="AF162">
        <v>5</v>
      </c>
      <c r="AG162">
        <v>4</v>
      </c>
      <c r="AH162">
        <v>4</v>
      </c>
      <c r="AI162" t="s">
        <v>61</v>
      </c>
      <c r="AJ162">
        <v>0</v>
      </c>
      <c r="AK162">
        <v>3</v>
      </c>
    </row>
    <row r="163" spans="1:37">
      <c r="A163" t="s">
        <v>673</v>
      </c>
      <c r="B163">
        <v>10249</v>
      </c>
      <c r="C163">
        <v>1</v>
      </c>
      <c r="D163">
        <v>1</v>
      </c>
      <c r="E163">
        <v>1</v>
      </c>
      <c r="F163">
        <v>5</v>
      </c>
      <c r="G163">
        <v>5</v>
      </c>
      <c r="H163">
        <v>3</v>
      </c>
      <c r="I163">
        <v>0</v>
      </c>
      <c r="J163">
        <v>61962</v>
      </c>
      <c r="K163">
        <v>1</v>
      </c>
      <c r="L163">
        <v>20</v>
      </c>
      <c r="M163" t="s">
        <v>76</v>
      </c>
      <c r="N163" t="s">
        <v>47</v>
      </c>
      <c r="O163">
        <v>2126</v>
      </c>
      <c r="P163" t="s">
        <v>674</v>
      </c>
      <c r="Q163" t="s">
        <v>49</v>
      </c>
      <c r="R163" t="s">
        <v>65</v>
      </c>
      <c r="S163" t="s">
        <v>51</v>
      </c>
      <c r="T163" t="s">
        <v>52</v>
      </c>
      <c r="U163" t="s">
        <v>53</v>
      </c>
      <c r="V163" t="s">
        <v>139</v>
      </c>
      <c r="X163" t="s">
        <v>675</v>
      </c>
      <c r="Y163" t="s">
        <v>378</v>
      </c>
      <c r="Z163" t="s">
        <v>69</v>
      </c>
      <c r="AA163" t="s">
        <v>57</v>
      </c>
      <c r="AB163" t="s">
        <v>81</v>
      </c>
      <c r="AC163">
        <v>20</v>
      </c>
      <c r="AD163" t="s">
        <v>95</v>
      </c>
      <c r="AE163" t="s">
        <v>73</v>
      </c>
      <c r="AF163">
        <v>4.9000000000000004</v>
      </c>
      <c r="AG163">
        <v>3</v>
      </c>
      <c r="AH163">
        <v>0</v>
      </c>
      <c r="AI163" t="s">
        <v>676</v>
      </c>
      <c r="AJ163">
        <v>0</v>
      </c>
      <c r="AK163">
        <v>20</v>
      </c>
    </row>
    <row r="164" spans="1:37">
      <c r="A164" t="s">
        <v>677</v>
      </c>
      <c r="B164">
        <v>10232</v>
      </c>
      <c r="C164">
        <v>0</v>
      </c>
      <c r="D164">
        <v>0</v>
      </c>
      <c r="E164">
        <v>0</v>
      </c>
      <c r="F164">
        <v>1</v>
      </c>
      <c r="G164">
        <v>3</v>
      </c>
      <c r="H164">
        <v>3</v>
      </c>
      <c r="I164">
        <v>0</v>
      </c>
      <c r="J164">
        <v>81584</v>
      </c>
      <c r="K164">
        <v>0</v>
      </c>
      <c r="L164">
        <v>22</v>
      </c>
      <c r="M164" t="s">
        <v>678</v>
      </c>
      <c r="N164" t="s">
        <v>47</v>
      </c>
      <c r="O164">
        <v>1886</v>
      </c>
      <c r="P164" t="s">
        <v>679</v>
      </c>
      <c r="Q164" t="s">
        <v>78</v>
      </c>
      <c r="R164" t="s">
        <v>50</v>
      </c>
      <c r="S164" t="s">
        <v>51</v>
      </c>
      <c r="T164" t="s">
        <v>52</v>
      </c>
      <c r="U164" t="s">
        <v>182</v>
      </c>
      <c r="V164" t="s">
        <v>680</v>
      </c>
      <c r="Y164" t="s">
        <v>55</v>
      </c>
      <c r="Z164" t="s">
        <v>56</v>
      </c>
      <c r="AA164" t="s">
        <v>70</v>
      </c>
      <c r="AB164" t="s">
        <v>386</v>
      </c>
      <c r="AC164">
        <v>13</v>
      </c>
      <c r="AD164" t="s">
        <v>72</v>
      </c>
      <c r="AE164" t="s">
        <v>73</v>
      </c>
      <c r="AF164">
        <v>4.0999999999999996</v>
      </c>
      <c r="AG164">
        <v>5</v>
      </c>
      <c r="AH164">
        <v>7</v>
      </c>
      <c r="AI164" t="s">
        <v>560</v>
      </c>
      <c r="AJ164">
        <v>0</v>
      </c>
      <c r="AK164">
        <v>2</v>
      </c>
    </row>
    <row r="165" spans="1:37">
      <c r="A165" t="s">
        <v>681</v>
      </c>
      <c r="B165">
        <v>10087</v>
      </c>
      <c r="C165">
        <v>0</v>
      </c>
      <c r="D165">
        <v>0</v>
      </c>
      <c r="E165">
        <v>0</v>
      </c>
      <c r="F165">
        <v>5</v>
      </c>
      <c r="G165">
        <v>5</v>
      </c>
      <c r="H165">
        <v>3</v>
      </c>
      <c r="I165">
        <v>0</v>
      </c>
      <c r="J165">
        <v>63676</v>
      </c>
      <c r="K165">
        <v>1</v>
      </c>
      <c r="L165">
        <v>19</v>
      </c>
      <c r="M165" t="s">
        <v>46</v>
      </c>
      <c r="N165" t="s">
        <v>47</v>
      </c>
      <c r="O165">
        <v>1810</v>
      </c>
      <c r="P165" t="s">
        <v>682</v>
      </c>
      <c r="Q165" t="s">
        <v>78</v>
      </c>
      <c r="R165" t="s">
        <v>50</v>
      </c>
      <c r="S165" t="s">
        <v>51</v>
      </c>
      <c r="T165" t="s">
        <v>52</v>
      </c>
      <c r="U165" t="s">
        <v>182</v>
      </c>
      <c r="V165" t="s">
        <v>316</v>
      </c>
      <c r="X165" t="s">
        <v>469</v>
      </c>
      <c r="Y165" t="s">
        <v>93</v>
      </c>
      <c r="Z165" t="s">
        <v>69</v>
      </c>
      <c r="AA165" t="s">
        <v>57</v>
      </c>
      <c r="AB165" t="s">
        <v>81</v>
      </c>
      <c r="AC165">
        <v>20</v>
      </c>
      <c r="AD165" t="s">
        <v>196</v>
      </c>
      <c r="AE165" t="s">
        <v>73</v>
      </c>
      <c r="AF165">
        <v>4.88</v>
      </c>
      <c r="AG165">
        <v>3</v>
      </c>
      <c r="AH165">
        <v>0</v>
      </c>
      <c r="AI165" t="s">
        <v>683</v>
      </c>
      <c r="AJ165">
        <v>0</v>
      </c>
      <c r="AK165">
        <v>17</v>
      </c>
    </row>
    <row r="166" spans="1:37">
      <c r="A166" t="s">
        <v>684</v>
      </c>
      <c r="B166">
        <v>10134</v>
      </c>
      <c r="C166">
        <v>1</v>
      </c>
      <c r="D166">
        <v>1</v>
      </c>
      <c r="E166">
        <v>1</v>
      </c>
      <c r="F166">
        <v>1</v>
      </c>
      <c r="G166">
        <v>1</v>
      </c>
      <c r="H166">
        <v>3</v>
      </c>
      <c r="I166">
        <v>0</v>
      </c>
      <c r="J166">
        <v>93046</v>
      </c>
      <c r="K166">
        <v>0</v>
      </c>
      <c r="L166">
        <v>23</v>
      </c>
      <c r="M166" t="s">
        <v>685</v>
      </c>
      <c r="N166" t="s">
        <v>47</v>
      </c>
      <c r="O166">
        <v>1460</v>
      </c>
      <c r="P166" t="s">
        <v>686</v>
      </c>
      <c r="Q166" t="s">
        <v>49</v>
      </c>
      <c r="R166" t="s">
        <v>65</v>
      </c>
      <c r="S166" t="s">
        <v>51</v>
      </c>
      <c r="T166" t="s">
        <v>52</v>
      </c>
      <c r="U166" t="s">
        <v>53</v>
      </c>
      <c r="V166" t="s">
        <v>687</v>
      </c>
      <c r="Y166" t="s">
        <v>55</v>
      </c>
      <c r="Z166" t="s">
        <v>56</v>
      </c>
      <c r="AA166" t="s">
        <v>214</v>
      </c>
      <c r="AB166" t="s">
        <v>221</v>
      </c>
      <c r="AC166">
        <v>2</v>
      </c>
      <c r="AD166" t="s">
        <v>196</v>
      </c>
      <c r="AE166" t="s">
        <v>73</v>
      </c>
      <c r="AF166">
        <v>4.0999999999999996</v>
      </c>
      <c r="AG166">
        <v>4</v>
      </c>
      <c r="AH166">
        <v>0</v>
      </c>
      <c r="AI166" t="s">
        <v>343</v>
      </c>
      <c r="AJ166">
        <v>0</v>
      </c>
      <c r="AK166">
        <v>20</v>
      </c>
    </row>
    <row r="167" spans="1:37">
      <c r="A167" t="s">
        <v>688</v>
      </c>
      <c r="B167">
        <v>10251</v>
      </c>
      <c r="C167">
        <v>1</v>
      </c>
      <c r="D167">
        <v>1</v>
      </c>
      <c r="E167">
        <v>1</v>
      </c>
      <c r="F167">
        <v>1</v>
      </c>
      <c r="G167">
        <v>5</v>
      </c>
      <c r="H167">
        <v>3</v>
      </c>
      <c r="I167">
        <v>0</v>
      </c>
      <c r="J167">
        <v>64738</v>
      </c>
      <c r="K167">
        <v>0</v>
      </c>
      <c r="L167">
        <v>19</v>
      </c>
      <c r="M167" t="s">
        <v>46</v>
      </c>
      <c r="N167" t="s">
        <v>47</v>
      </c>
      <c r="O167">
        <v>1776</v>
      </c>
      <c r="P167" t="s">
        <v>689</v>
      </c>
      <c r="Q167" t="s">
        <v>49</v>
      </c>
      <c r="R167" t="s">
        <v>65</v>
      </c>
      <c r="S167" t="s">
        <v>51</v>
      </c>
      <c r="T167" t="s">
        <v>52</v>
      </c>
      <c r="U167" t="s">
        <v>182</v>
      </c>
      <c r="V167" t="s">
        <v>291</v>
      </c>
      <c r="Y167" t="s">
        <v>55</v>
      </c>
      <c r="Z167" t="s">
        <v>56</v>
      </c>
      <c r="AA167" t="s">
        <v>57</v>
      </c>
      <c r="AB167" t="s">
        <v>86</v>
      </c>
      <c r="AC167">
        <v>16</v>
      </c>
      <c r="AD167" t="s">
        <v>95</v>
      </c>
      <c r="AE167" t="s">
        <v>73</v>
      </c>
      <c r="AF167">
        <v>4.0999999999999996</v>
      </c>
      <c r="AG167">
        <v>3</v>
      </c>
      <c r="AH167">
        <v>0</v>
      </c>
      <c r="AI167" t="s">
        <v>263</v>
      </c>
      <c r="AJ167">
        <v>0</v>
      </c>
      <c r="AK167">
        <v>10</v>
      </c>
    </row>
    <row r="168" spans="1:37">
      <c r="A168" t="s">
        <v>690</v>
      </c>
      <c r="B168">
        <v>10103</v>
      </c>
      <c r="C168">
        <v>0</v>
      </c>
      <c r="D168">
        <v>3</v>
      </c>
      <c r="E168">
        <v>1</v>
      </c>
      <c r="F168">
        <v>1</v>
      </c>
      <c r="G168">
        <v>6</v>
      </c>
      <c r="H168">
        <v>3</v>
      </c>
      <c r="I168">
        <v>0</v>
      </c>
      <c r="J168">
        <v>70468</v>
      </c>
      <c r="K168">
        <v>0</v>
      </c>
      <c r="L168">
        <v>3</v>
      </c>
      <c r="M168" t="s">
        <v>242</v>
      </c>
      <c r="N168" t="s">
        <v>691</v>
      </c>
      <c r="O168">
        <v>84111</v>
      </c>
      <c r="P168" t="s">
        <v>692</v>
      </c>
      <c r="Q168" t="s">
        <v>49</v>
      </c>
      <c r="R168" t="s">
        <v>238</v>
      </c>
      <c r="S168" t="s">
        <v>51</v>
      </c>
      <c r="T168" t="s">
        <v>52</v>
      </c>
      <c r="U168" t="s">
        <v>118</v>
      </c>
      <c r="V168" t="s">
        <v>693</v>
      </c>
      <c r="Y168" t="s">
        <v>55</v>
      </c>
      <c r="Z168" t="s">
        <v>56</v>
      </c>
      <c r="AA168" t="s">
        <v>247</v>
      </c>
      <c r="AB168" t="s">
        <v>248</v>
      </c>
      <c r="AC168">
        <v>17</v>
      </c>
      <c r="AD168" t="s">
        <v>393</v>
      </c>
      <c r="AE168" t="s">
        <v>73</v>
      </c>
      <c r="AF168">
        <v>4.53</v>
      </c>
      <c r="AG168">
        <v>3</v>
      </c>
      <c r="AH168">
        <v>0</v>
      </c>
      <c r="AI168" t="s">
        <v>394</v>
      </c>
      <c r="AJ168">
        <v>0</v>
      </c>
      <c r="AK168">
        <v>16</v>
      </c>
    </row>
    <row r="169" spans="1:37">
      <c r="A169" t="s">
        <v>694</v>
      </c>
      <c r="B169">
        <v>10017</v>
      </c>
      <c r="C169">
        <v>1</v>
      </c>
      <c r="D169">
        <v>1</v>
      </c>
      <c r="E169">
        <v>0</v>
      </c>
      <c r="F169">
        <v>1</v>
      </c>
      <c r="G169">
        <v>5</v>
      </c>
      <c r="H169">
        <v>4</v>
      </c>
      <c r="I169">
        <v>0</v>
      </c>
      <c r="J169">
        <v>77915</v>
      </c>
      <c r="K169">
        <v>0</v>
      </c>
      <c r="L169">
        <v>18</v>
      </c>
      <c r="M169" t="s">
        <v>217</v>
      </c>
      <c r="N169" t="s">
        <v>47</v>
      </c>
      <c r="O169">
        <v>2110</v>
      </c>
      <c r="P169" t="s">
        <v>695</v>
      </c>
      <c r="Q169" t="s">
        <v>78</v>
      </c>
      <c r="R169" t="s">
        <v>65</v>
      </c>
      <c r="S169" t="s">
        <v>51</v>
      </c>
      <c r="T169" t="s">
        <v>52</v>
      </c>
      <c r="U169" t="s">
        <v>53</v>
      </c>
      <c r="V169" t="s">
        <v>112</v>
      </c>
      <c r="Y169" t="s">
        <v>55</v>
      </c>
      <c r="Z169" t="s">
        <v>56</v>
      </c>
      <c r="AA169" t="s">
        <v>57</v>
      </c>
      <c r="AB169" t="s">
        <v>221</v>
      </c>
      <c r="AC169">
        <v>2</v>
      </c>
      <c r="AD169" t="s">
        <v>393</v>
      </c>
      <c r="AE169" t="s">
        <v>60</v>
      </c>
      <c r="AF169">
        <v>4.0999999999999996</v>
      </c>
      <c r="AG169">
        <v>3</v>
      </c>
      <c r="AH169">
        <v>0</v>
      </c>
      <c r="AI169" t="s">
        <v>240</v>
      </c>
      <c r="AJ169">
        <v>0</v>
      </c>
      <c r="AK169">
        <v>11</v>
      </c>
    </row>
    <row r="170" spans="1:37">
      <c r="A170" t="s">
        <v>696</v>
      </c>
      <c r="B170">
        <v>10186</v>
      </c>
      <c r="C170">
        <v>1</v>
      </c>
      <c r="D170">
        <v>1</v>
      </c>
      <c r="E170">
        <v>0</v>
      </c>
      <c r="F170">
        <v>5</v>
      </c>
      <c r="G170">
        <v>5</v>
      </c>
      <c r="H170">
        <v>3</v>
      </c>
      <c r="I170">
        <v>0</v>
      </c>
      <c r="J170">
        <v>52624</v>
      </c>
      <c r="K170">
        <v>1</v>
      </c>
      <c r="L170">
        <v>19</v>
      </c>
      <c r="M170" t="s">
        <v>46</v>
      </c>
      <c r="N170" t="s">
        <v>47</v>
      </c>
      <c r="O170">
        <v>1886</v>
      </c>
      <c r="P170" t="s">
        <v>697</v>
      </c>
      <c r="Q170" t="s">
        <v>78</v>
      </c>
      <c r="R170" t="s">
        <v>65</v>
      </c>
      <c r="S170" t="s">
        <v>51</v>
      </c>
      <c r="T170" t="s">
        <v>52</v>
      </c>
      <c r="U170" t="s">
        <v>53</v>
      </c>
      <c r="V170" t="s">
        <v>54</v>
      </c>
      <c r="X170" t="s">
        <v>698</v>
      </c>
      <c r="Y170" t="s">
        <v>141</v>
      </c>
      <c r="Z170" t="s">
        <v>69</v>
      </c>
      <c r="AA170" t="s">
        <v>57</v>
      </c>
      <c r="AB170" t="s">
        <v>58</v>
      </c>
      <c r="AC170">
        <v>22</v>
      </c>
      <c r="AD170" t="s">
        <v>72</v>
      </c>
      <c r="AE170" t="s">
        <v>73</v>
      </c>
      <c r="AF170">
        <v>3.18</v>
      </c>
      <c r="AG170">
        <v>4</v>
      </c>
      <c r="AH170">
        <v>0</v>
      </c>
      <c r="AI170" t="s">
        <v>699</v>
      </c>
      <c r="AJ170">
        <v>0</v>
      </c>
      <c r="AK170">
        <v>16</v>
      </c>
    </row>
    <row r="171" spans="1:37">
      <c r="A171" t="s">
        <v>700</v>
      </c>
      <c r="B171">
        <v>10137</v>
      </c>
      <c r="C171">
        <v>1</v>
      </c>
      <c r="D171">
        <v>1</v>
      </c>
      <c r="E171">
        <v>1</v>
      </c>
      <c r="F171">
        <v>3</v>
      </c>
      <c r="G171">
        <v>5</v>
      </c>
      <c r="H171">
        <v>3</v>
      </c>
      <c r="I171">
        <v>0</v>
      </c>
      <c r="J171">
        <v>63450</v>
      </c>
      <c r="K171">
        <v>0</v>
      </c>
      <c r="L171">
        <v>20</v>
      </c>
      <c r="M171" t="s">
        <v>76</v>
      </c>
      <c r="N171" t="s">
        <v>47</v>
      </c>
      <c r="O171">
        <v>1770</v>
      </c>
      <c r="P171" t="s">
        <v>701</v>
      </c>
      <c r="Q171" t="s">
        <v>49</v>
      </c>
      <c r="R171" t="s">
        <v>65</v>
      </c>
      <c r="S171" t="s">
        <v>51</v>
      </c>
      <c r="T171" t="s">
        <v>52</v>
      </c>
      <c r="U171" t="s">
        <v>53</v>
      </c>
      <c r="V171" t="s">
        <v>183</v>
      </c>
      <c r="Y171" t="s">
        <v>55</v>
      </c>
      <c r="Z171" t="s">
        <v>56</v>
      </c>
      <c r="AA171" t="s">
        <v>57</v>
      </c>
      <c r="AB171" t="s">
        <v>151</v>
      </c>
      <c r="AC171">
        <v>18</v>
      </c>
      <c r="AD171" t="s">
        <v>59</v>
      </c>
      <c r="AE171" t="s">
        <v>73</v>
      </c>
      <c r="AF171">
        <v>4</v>
      </c>
      <c r="AG171">
        <v>3</v>
      </c>
      <c r="AH171">
        <v>0</v>
      </c>
      <c r="AI171" t="s">
        <v>128</v>
      </c>
      <c r="AJ171">
        <v>0</v>
      </c>
      <c r="AK171">
        <v>7</v>
      </c>
    </row>
    <row r="172" spans="1:37">
      <c r="A172" t="s">
        <v>702</v>
      </c>
      <c r="B172">
        <v>10008</v>
      </c>
      <c r="C172">
        <v>0</v>
      </c>
      <c r="D172">
        <v>0</v>
      </c>
      <c r="E172">
        <v>0</v>
      </c>
      <c r="F172">
        <v>1</v>
      </c>
      <c r="G172">
        <v>3</v>
      </c>
      <c r="H172">
        <v>4</v>
      </c>
      <c r="I172">
        <v>1</v>
      </c>
      <c r="J172">
        <v>51777</v>
      </c>
      <c r="K172">
        <v>0</v>
      </c>
      <c r="L172">
        <v>14</v>
      </c>
      <c r="M172" t="s">
        <v>124</v>
      </c>
      <c r="N172" t="s">
        <v>204</v>
      </c>
      <c r="O172">
        <v>6070</v>
      </c>
      <c r="P172" t="s">
        <v>703</v>
      </c>
      <c r="Q172" t="s">
        <v>78</v>
      </c>
      <c r="R172" t="s">
        <v>50</v>
      </c>
      <c r="S172" t="s">
        <v>51</v>
      </c>
      <c r="T172" t="s">
        <v>131</v>
      </c>
      <c r="U172" t="s">
        <v>118</v>
      </c>
      <c r="V172" t="s">
        <v>704</v>
      </c>
      <c r="Y172" t="s">
        <v>55</v>
      </c>
      <c r="Z172" t="s">
        <v>56</v>
      </c>
      <c r="AA172" t="s">
        <v>70</v>
      </c>
      <c r="AB172" t="s">
        <v>307</v>
      </c>
      <c r="AC172">
        <v>6</v>
      </c>
      <c r="AD172" t="s">
        <v>121</v>
      </c>
      <c r="AE172" t="s">
        <v>60</v>
      </c>
      <c r="AF172">
        <v>4.6399999999999997</v>
      </c>
      <c r="AG172">
        <v>4</v>
      </c>
      <c r="AH172">
        <v>5</v>
      </c>
      <c r="AI172" t="s">
        <v>122</v>
      </c>
      <c r="AJ172">
        <v>0</v>
      </c>
      <c r="AK172">
        <v>14</v>
      </c>
    </row>
    <row r="173" spans="1:37">
      <c r="A173" t="s">
        <v>705</v>
      </c>
      <c r="B173">
        <v>10096</v>
      </c>
      <c r="C173">
        <v>0</v>
      </c>
      <c r="D173">
        <v>4</v>
      </c>
      <c r="E173">
        <v>0</v>
      </c>
      <c r="F173">
        <v>5</v>
      </c>
      <c r="G173">
        <v>5</v>
      </c>
      <c r="H173">
        <v>3</v>
      </c>
      <c r="I173">
        <v>0</v>
      </c>
      <c r="J173">
        <v>67237</v>
      </c>
      <c r="K173">
        <v>1</v>
      </c>
      <c r="L173">
        <v>20</v>
      </c>
      <c r="M173" t="s">
        <v>76</v>
      </c>
      <c r="N173" t="s">
        <v>47</v>
      </c>
      <c r="O173">
        <v>2122</v>
      </c>
      <c r="P173" t="s">
        <v>706</v>
      </c>
      <c r="Q173" t="s">
        <v>78</v>
      </c>
      <c r="R173" t="s">
        <v>111</v>
      </c>
      <c r="S173" t="s">
        <v>51</v>
      </c>
      <c r="T173" t="s">
        <v>52</v>
      </c>
      <c r="U173" t="s">
        <v>53</v>
      </c>
      <c r="V173" t="s">
        <v>183</v>
      </c>
      <c r="X173" t="s">
        <v>707</v>
      </c>
      <c r="Y173" t="s">
        <v>378</v>
      </c>
      <c r="Z173" t="s">
        <v>69</v>
      </c>
      <c r="AA173" t="s">
        <v>57</v>
      </c>
      <c r="AB173" t="s">
        <v>58</v>
      </c>
      <c r="AC173">
        <v>22</v>
      </c>
      <c r="AD173" t="s">
        <v>59</v>
      </c>
      <c r="AE173" t="s">
        <v>73</v>
      </c>
      <c r="AF173">
        <v>4.6500000000000004</v>
      </c>
      <c r="AG173">
        <v>4</v>
      </c>
      <c r="AH173">
        <v>0</v>
      </c>
      <c r="AI173" t="s">
        <v>708</v>
      </c>
      <c r="AJ173">
        <v>0</v>
      </c>
      <c r="AK173">
        <v>15</v>
      </c>
    </row>
    <row r="174" spans="1:37">
      <c r="A174" t="s">
        <v>709</v>
      </c>
      <c r="B174">
        <v>10035</v>
      </c>
      <c r="C174">
        <v>0</v>
      </c>
      <c r="D174">
        <v>0</v>
      </c>
      <c r="E174">
        <v>0</v>
      </c>
      <c r="F174">
        <v>1</v>
      </c>
      <c r="G174">
        <v>5</v>
      </c>
      <c r="H174">
        <v>4</v>
      </c>
      <c r="I174">
        <v>0</v>
      </c>
      <c r="J174">
        <v>73330</v>
      </c>
      <c r="K174">
        <v>0</v>
      </c>
      <c r="L174">
        <v>20</v>
      </c>
      <c r="M174" t="s">
        <v>76</v>
      </c>
      <c r="N174" t="s">
        <v>47</v>
      </c>
      <c r="O174">
        <v>2324</v>
      </c>
      <c r="P174" t="s">
        <v>710</v>
      </c>
      <c r="Q174" t="s">
        <v>78</v>
      </c>
      <c r="R174" t="s">
        <v>50</v>
      </c>
      <c r="S174" t="s">
        <v>51</v>
      </c>
      <c r="T174" t="s">
        <v>52</v>
      </c>
      <c r="U174" t="s">
        <v>118</v>
      </c>
      <c r="V174" t="s">
        <v>189</v>
      </c>
      <c r="Y174" t="s">
        <v>55</v>
      </c>
      <c r="Z174" t="s">
        <v>56</v>
      </c>
      <c r="AA174" t="s">
        <v>57</v>
      </c>
      <c r="AB174" t="s">
        <v>86</v>
      </c>
      <c r="AC174">
        <v>16</v>
      </c>
      <c r="AD174" t="s">
        <v>72</v>
      </c>
      <c r="AE174" t="s">
        <v>60</v>
      </c>
      <c r="AF174">
        <v>4.2</v>
      </c>
      <c r="AG174">
        <v>4</v>
      </c>
      <c r="AH174">
        <v>0</v>
      </c>
      <c r="AI174" t="s">
        <v>279</v>
      </c>
      <c r="AJ174">
        <v>0</v>
      </c>
      <c r="AK174">
        <v>19</v>
      </c>
    </row>
    <row r="175" spans="1:37">
      <c r="A175" t="s">
        <v>711</v>
      </c>
      <c r="B175">
        <v>10057</v>
      </c>
      <c r="C175">
        <v>1</v>
      </c>
      <c r="D175">
        <v>1</v>
      </c>
      <c r="E175">
        <v>0</v>
      </c>
      <c r="F175">
        <v>3</v>
      </c>
      <c r="G175">
        <v>5</v>
      </c>
      <c r="H175">
        <v>3</v>
      </c>
      <c r="I175">
        <v>0</v>
      </c>
      <c r="J175">
        <v>52057</v>
      </c>
      <c r="K175">
        <v>0</v>
      </c>
      <c r="L175">
        <v>19</v>
      </c>
      <c r="M175" t="s">
        <v>46</v>
      </c>
      <c r="N175" t="s">
        <v>47</v>
      </c>
      <c r="O175">
        <v>2122</v>
      </c>
      <c r="P175" t="s">
        <v>712</v>
      </c>
      <c r="Q175" t="s">
        <v>78</v>
      </c>
      <c r="R175" t="s">
        <v>65</v>
      </c>
      <c r="S175" t="s">
        <v>51</v>
      </c>
      <c r="T175" t="s">
        <v>52</v>
      </c>
      <c r="U175" t="s">
        <v>118</v>
      </c>
      <c r="V175" t="s">
        <v>213</v>
      </c>
      <c r="Y175" t="s">
        <v>55</v>
      </c>
      <c r="Z175" t="s">
        <v>56</v>
      </c>
      <c r="AA175" t="s">
        <v>57</v>
      </c>
      <c r="AB175" t="s">
        <v>86</v>
      </c>
      <c r="AC175">
        <v>16</v>
      </c>
      <c r="AD175" t="s">
        <v>393</v>
      </c>
      <c r="AE175" t="s">
        <v>73</v>
      </c>
      <c r="AF175">
        <v>5</v>
      </c>
      <c r="AG175">
        <v>3</v>
      </c>
      <c r="AH175">
        <v>0</v>
      </c>
      <c r="AI175" t="s">
        <v>387</v>
      </c>
      <c r="AJ175">
        <v>0</v>
      </c>
      <c r="AK175">
        <v>6</v>
      </c>
    </row>
    <row r="176" spans="1:37">
      <c r="A176" t="s">
        <v>713</v>
      </c>
      <c r="B176">
        <v>10004</v>
      </c>
      <c r="C176">
        <v>0</v>
      </c>
      <c r="D176">
        <v>0</v>
      </c>
      <c r="E176">
        <v>0</v>
      </c>
      <c r="F176">
        <v>5</v>
      </c>
      <c r="G176">
        <v>5</v>
      </c>
      <c r="H176">
        <v>4</v>
      </c>
      <c r="I176">
        <v>1</v>
      </c>
      <c r="J176">
        <v>47434</v>
      </c>
      <c r="K176">
        <v>1</v>
      </c>
      <c r="L176">
        <v>19</v>
      </c>
      <c r="M176" t="s">
        <v>46</v>
      </c>
      <c r="N176" t="s">
        <v>47</v>
      </c>
      <c r="O176">
        <v>1844</v>
      </c>
      <c r="P176" t="s">
        <v>714</v>
      </c>
      <c r="Q176" t="s">
        <v>78</v>
      </c>
      <c r="R176" t="s">
        <v>50</v>
      </c>
      <c r="S176" t="s">
        <v>51</v>
      </c>
      <c r="T176" t="s">
        <v>131</v>
      </c>
      <c r="U176" t="s">
        <v>118</v>
      </c>
      <c r="V176" t="s">
        <v>360</v>
      </c>
      <c r="X176" t="s">
        <v>715</v>
      </c>
      <c r="Y176" t="s">
        <v>134</v>
      </c>
      <c r="Z176" t="s">
        <v>69</v>
      </c>
      <c r="AA176" t="s">
        <v>57</v>
      </c>
      <c r="AB176" t="s">
        <v>94</v>
      </c>
      <c r="AC176">
        <v>39</v>
      </c>
      <c r="AD176" t="s">
        <v>121</v>
      </c>
      <c r="AE176" t="s">
        <v>60</v>
      </c>
      <c r="AF176">
        <v>5</v>
      </c>
      <c r="AG176">
        <v>4</v>
      </c>
      <c r="AH176">
        <v>0</v>
      </c>
      <c r="AI176" t="s">
        <v>716</v>
      </c>
      <c r="AJ176">
        <v>0</v>
      </c>
      <c r="AK176">
        <v>17</v>
      </c>
    </row>
    <row r="177" spans="1:37">
      <c r="A177" t="s">
        <v>717</v>
      </c>
      <c r="B177">
        <v>10191</v>
      </c>
      <c r="C177">
        <v>0</v>
      </c>
      <c r="D177">
        <v>4</v>
      </c>
      <c r="E177">
        <v>1</v>
      </c>
      <c r="F177">
        <v>5</v>
      </c>
      <c r="G177">
        <v>5</v>
      </c>
      <c r="H177">
        <v>3</v>
      </c>
      <c r="I177">
        <v>0</v>
      </c>
      <c r="J177">
        <v>52788</v>
      </c>
      <c r="K177">
        <v>1</v>
      </c>
      <c r="L177">
        <v>19</v>
      </c>
      <c r="M177" t="s">
        <v>46</v>
      </c>
      <c r="N177" t="s">
        <v>47</v>
      </c>
      <c r="O177">
        <v>1938</v>
      </c>
      <c r="P177" t="s">
        <v>718</v>
      </c>
      <c r="Q177" t="s">
        <v>49</v>
      </c>
      <c r="R177" t="s">
        <v>111</v>
      </c>
      <c r="S177" t="s">
        <v>51</v>
      </c>
      <c r="T177" t="s">
        <v>52</v>
      </c>
      <c r="U177" t="s">
        <v>53</v>
      </c>
      <c r="V177" t="s">
        <v>79</v>
      </c>
      <c r="X177" t="s">
        <v>719</v>
      </c>
      <c r="Y177" t="s">
        <v>80</v>
      </c>
      <c r="Z177" t="s">
        <v>69</v>
      </c>
      <c r="AA177" t="s">
        <v>57</v>
      </c>
      <c r="AB177" t="s">
        <v>100</v>
      </c>
      <c r="AC177">
        <v>11</v>
      </c>
      <c r="AD177" t="s">
        <v>72</v>
      </c>
      <c r="AE177" t="s">
        <v>73</v>
      </c>
      <c r="AF177">
        <v>3.08</v>
      </c>
      <c r="AG177">
        <v>4</v>
      </c>
      <c r="AH177">
        <v>0</v>
      </c>
      <c r="AI177" t="s">
        <v>720</v>
      </c>
      <c r="AJ177">
        <v>0</v>
      </c>
      <c r="AK177">
        <v>18</v>
      </c>
    </row>
    <row r="178" spans="1:37">
      <c r="A178" t="s">
        <v>721</v>
      </c>
      <c r="B178">
        <v>10219</v>
      </c>
      <c r="C178">
        <v>0</v>
      </c>
      <c r="D178">
        <v>0</v>
      </c>
      <c r="E178">
        <v>0</v>
      </c>
      <c r="F178">
        <v>1</v>
      </c>
      <c r="G178">
        <v>5</v>
      </c>
      <c r="H178">
        <v>3</v>
      </c>
      <c r="I178">
        <v>0</v>
      </c>
      <c r="J178">
        <v>45395</v>
      </c>
      <c r="K178">
        <v>0</v>
      </c>
      <c r="L178">
        <v>19</v>
      </c>
      <c r="M178" t="s">
        <v>46</v>
      </c>
      <c r="N178" t="s">
        <v>47</v>
      </c>
      <c r="O178">
        <v>2189</v>
      </c>
      <c r="P178" t="s">
        <v>722</v>
      </c>
      <c r="Q178" t="s">
        <v>78</v>
      </c>
      <c r="R178" t="s">
        <v>50</v>
      </c>
      <c r="S178" t="s">
        <v>51</v>
      </c>
      <c r="T178" t="s">
        <v>52</v>
      </c>
      <c r="U178" t="s">
        <v>53</v>
      </c>
      <c r="V178" t="s">
        <v>616</v>
      </c>
      <c r="Y178" t="s">
        <v>55</v>
      </c>
      <c r="Z178" t="s">
        <v>56</v>
      </c>
      <c r="AA178" t="s">
        <v>57</v>
      </c>
      <c r="AB178" t="s">
        <v>113</v>
      </c>
      <c r="AC178">
        <v>19</v>
      </c>
      <c r="AD178" t="s">
        <v>59</v>
      </c>
      <c r="AE178" t="s">
        <v>73</v>
      </c>
      <c r="AF178">
        <v>4.5999999999999996</v>
      </c>
      <c r="AG178">
        <v>4</v>
      </c>
      <c r="AH178">
        <v>0</v>
      </c>
      <c r="AI178" t="s">
        <v>491</v>
      </c>
      <c r="AJ178">
        <v>0</v>
      </c>
      <c r="AK178">
        <v>14</v>
      </c>
    </row>
    <row r="179" spans="1:37">
      <c r="A179" t="s">
        <v>723</v>
      </c>
      <c r="B179">
        <v>10077</v>
      </c>
      <c r="C179">
        <v>1</v>
      </c>
      <c r="D179">
        <v>1</v>
      </c>
      <c r="E179">
        <v>0</v>
      </c>
      <c r="F179">
        <v>2</v>
      </c>
      <c r="G179">
        <v>5</v>
      </c>
      <c r="H179">
        <v>3</v>
      </c>
      <c r="I179">
        <v>0</v>
      </c>
      <c r="J179">
        <v>62385</v>
      </c>
      <c r="K179">
        <v>0</v>
      </c>
      <c r="L179">
        <v>20</v>
      </c>
      <c r="M179" t="s">
        <v>76</v>
      </c>
      <c r="N179" t="s">
        <v>47</v>
      </c>
      <c r="O179">
        <v>2324</v>
      </c>
      <c r="P179" t="s">
        <v>724</v>
      </c>
      <c r="Q179" t="s">
        <v>78</v>
      </c>
      <c r="R179" t="s">
        <v>65</v>
      </c>
      <c r="S179" t="s">
        <v>51</v>
      </c>
      <c r="T179" t="s">
        <v>52</v>
      </c>
      <c r="U179" t="s">
        <v>53</v>
      </c>
      <c r="V179" t="s">
        <v>725</v>
      </c>
      <c r="Y179" t="s">
        <v>55</v>
      </c>
      <c r="Z179" t="s">
        <v>56</v>
      </c>
      <c r="AA179" t="s">
        <v>57</v>
      </c>
      <c r="AB179" t="s">
        <v>94</v>
      </c>
      <c r="AD179" t="s">
        <v>59</v>
      </c>
      <c r="AE179" t="s">
        <v>73</v>
      </c>
      <c r="AF179">
        <v>5</v>
      </c>
      <c r="AG179">
        <v>3</v>
      </c>
      <c r="AH179">
        <v>0</v>
      </c>
      <c r="AI179" t="s">
        <v>240</v>
      </c>
      <c r="AJ179">
        <v>0</v>
      </c>
      <c r="AK179">
        <v>4</v>
      </c>
    </row>
    <row r="180" spans="1:37">
      <c r="A180" t="s">
        <v>726</v>
      </c>
      <c r="B180">
        <v>10073</v>
      </c>
      <c r="C180">
        <v>1</v>
      </c>
      <c r="D180">
        <v>1</v>
      </c>
      <c r="E180">
        <v>0</v>
      </c>
      <c r="F180">
        <v>5</v>
      </c>
      <c r="G180">
        <v>5</v>
      </c>
      <c r="H180">
        <v>3</v>
      </c>
      <c r="I180">
        <v>0</v>
      </c>
      <c r="J180">
        <v>68407</v>
      </c>
      <c r="K180">
        <v>1</v>
      </c>
      <c r="L180">
        <v>20</v>
      </c>
      <c r="M180" t="s">
        <v>76</v>
      </c>
      <c r="N180" t="s">
        <v>47</v>
      </c>
      <c r="O180">
        <v>2176</v>
      </c>
      <c r="P180" t="s">
        <v>727</v>
      </c>
      <c r="Q180" t="s">
        <v>78</v>
      </c>
      <c r="R180" t="s">
        <v>65</v>
      </c>
      <c r="S180" t="s">
        <v>51</v>
      </c>
      <c r="T180" t="s">
        <v>52</v>
      </c>
      <c r="U180" t="s">
        <v>149</v>
      </c>
      <c r="V180" t="s">
        <v>54</v>
      </c>
      <c r="X180" t="s">
        <v>728</v>
      </c>
      <c r="Y180" t="s">
        <v>134</v>
      </c>
      <c r="Z180" t="s">
        <v>69</v>
      </c>
      <c r="AA180" t="s">
        <v>57</v>
      </c>
      <c r="AB180" t="s">
        <v>100</v>
      </c>
      <c r="AC180">
        <v>11</v>
      </c>
      <c r="AD180" t="s">
        <v>59</v>
      </c>
      <c r="AE180" t="s">
        <v>73</v>
      </c>
      <c r="AF180">
        <v>5</v>
      </c>
      <c r="AG180">
        <v>4</v>
      </c>
      <c r="AH180">
        <v>0</v>
      </c>
      <c r="AI180" t="s">
        <v>357</v>
      </c>
      <c r="AJ180">
        <v>0</v>
      </c>
      <c r="AK180">
        <v>16</v>
      </c>
    </row>
    <row r="181" spans="1:37">
      <c r="A181" t="s">
        <v>729</v>
      </c>
      <c r="B181">
        <v>10279</v>
      </c>
      <c r="C181">
        <v>1</v>
      </c>
      <c r="D181">
        <v>1</v>
      </c>
      <c r="E181">
        <v>0</v>
      </c>
      <c r="F181">
        <v>1</v>
      </c>
      <c r="G181">
        <v>5</v>
      </c>
      <c r="H181">
        <v>3</v>
      </c>
      <c r="I181">
        <v>0</v>
      </c>
      <c r="J181">
        <v>61349</v>
      </c>
      <c r="K181">
        <v>0</v>
      </c>
      <c r="L181">
        <v>19</v>
      </c>
      <c r="M181" t="s">
        <v>46</v>
      </c>
      <c r="N181" t="s">
        <v>47</v>
      </c>
      <c r="O181">
        <v>2451</v>
      </c>
      <c r="P181" t="s">
        <v>730</v>
      </c>
      <c r="Q181" t="s">
        <v>78</v>
      </c>
      <c r="R181" t="s">
        <v>65</v>
      </c>
      <c r="S181" t="s">
        <v>51</v>
      </c>
      <c r="T181" t="s">
        <v>52</v>
      </c>
      <c r="U181" t="s">
        <v>53</v>
      </c>
      <c r="V181" t="s">
        <v>239</v>
      </c>
      <c r="Y181" t="s">
        <v>55</v>
      </c>
      <c r="Z181" t="s">
        <v>56</v>
      </c>
      <c r="AA181" t="s">
        <v>57</v>
      </c>
      <c r="AB181" t="s">
        <v>120</v>
      </c>
      <c r="AC181">
        <v>12</v>
      </c>
      <c r="AD181" t="s">
        <v>59</v>
      </c>
      <c r="AE181" t="s">
        <v>73</v>
      </c>
      <c r="AF181">
        <v>4.0999999999999996</v>
      </c>
      <c r="AG181">
        <v>3</v>
      </c>
      <c r="AH181">
        <v>0</v>
      </c>
      <c r="AI181" t="s">
        <v>340</v>
      </c>
      <c r="AJ181">
        <v>0</v>
      </c>
      <c r="AK181">
        <v>11</v>
      </c>
    </row>
    <row r="182" spans="1:37">
      <c r="A182" t="s">
        <v>731</v>
      </c>
      <c r="B182">
        <v>10110</v>
      </c>
      <c r="C182">
        <v>0</v>
      </c>
      <c r="D182">
        <v>0</v>
      </c>
      <c r="E182">
        <v>0</v>
      </c>
      <c r="F182">
        <v>1</v>
      </c>
      <c r="G182">
        <v>4</v>
      </c>
      <c r="H182">
        <v>3</v>
      </c>
      <c r="I182">
        <v>0</v>
      </c>
      <c r="J182">
        <v>105688</v>
      </c>
      <c r="K182">
        <v>0</v>
      </c>
      <c r="L182">
        <v>24</v>
      </c>
      <c r="M182" t="s">
        <v>103</v>
      </c>
      <c r="N182" t="s">
        <v>47</v>
      </c>
      <c r="O182">
        <v>2135</v>
      </c>
      <c r="P182" t="s">
        <v>732</v>
      </c>
      <c r="Q182" t="s">
        <v>78</v>
      </c>
      <c r="R182" t="s">
        <v>50</v>
      </c>
      <c r="S182" t="s">
        <v>51</v>
      </c>
      <c r="T182" t="s">
        <v>52</v>
      </c>
      <c r="U182" t="s">
        <v>182</v>
      </c>
      <c r="V182" t="s">
        <v>239</v>
      </c>
      <c r="Y182" t="s">
        <v>55</v>
      </c>
      <c r="Z182" t="s">
        <v>56</v>
      </c>
      <c r="AA182" t="s">
        <v>106</v>
      </c>
      <c r="AB182" t="s">
        <v>107</v>
      </c>
      <c r="AC182">
        <v>10</v>
      </c>
      <c r="AD182" t="s">
        <v>95</v>
      </c>
      <c r="AE182" t="s">
        <v>73</v>
      </c>
      <c r="AF182">
        <v>4.5</v>
      </c>
      <c r="AG182">
        <v>5</v>
      </c>
      <c r="AH182">
        <v>4</v>
      </c>
      <c r="AI182" t="s">
        <v>168</v>
      </c>
      <c r="AJ182">
        <v>0</v>
      </c>
      <c r="AK182">
        <v>14</v>
      </c>
    </row>
    <row r="183" spans="1:37">
      <c r="A183" t="s">
        <v>733</v>
      </c>
      <c r="B183">
        <v>10053</v>
      </c>
      <c r="C183">
        <v>1</v>
      </c>
      <c r="D183">
        <v>1</v>
      </c>
      <c r="E183">
        <v>0</v>
      </c>
      <c r="F183">
        <v>1</v>
      </c>
      <c r="G183">
        <v>5</v>
      </c>
      <c r="H183">
        <v>3</v>
      </c>
      <c r="I183">
        <v>0</v>
      </c>
      <c r="J183">
        <v>54132</v>
      </c>
      <c r="K183">
        <v>0</v>
      </c>
      <c r="L183">
        <v>19</v>
      </c>
      <c r="M183" t="s">
        <v>46</v>
      </c>
      <c r="N183" t="s">
        <v>47</v>
      </c>
      <c r="O183">
        <v>2330</v>
      </c>
      <c r="P183" t="s">
        <v>734</v>
      </c>
      <c r="Q183" t="s">
        <v>78</v>
      </c>
      <c r="R183" t="s">
        <v>65</v>
      </c>
      <c r="S183" t="s">
        <v>51</v>
      </c>
      <c r="T183" t="s">
        <v>52</v>
      </c>
      <c r="U183" t="s">
        <v>53</v>
      </c>
      <c r="V183" t="s">
        <v>735</v>
      </c>
      <c r="Y183" t="s">
        <v>55</v>
      </c>
      <c r="Z183" t="s">
        <v>56</v>
      </c>
      <c r="AA183" t="s">
        <v>57</v>
      </c>
      <c r="AB183" t="s">
        <v>135</v>
      </c>
      <c r="AC183">
        <v>14</v>
      </c>
      <c r="AD183" t="s">
        <v>72</v>
      </c>
      <c r="AE183" t="s">
        <v>73</v>
      </c>
      <c r="AF183">
        <v>5</v>
      </c>
      <c r="AG183">
        <v>4</v>
      </c>
      <c r="AH183">
        <v>0</v>
      </c>
      <c r="AI183" t="s">
        <v>190</v>
      </c>
      <c r="AJ183">
        <v>0</v>
      </c>
      <c r="AK183">
        <v>8</v>
      </c>
    </row>
    <row r="184" spans="1:37">
      <c r="A184" t="s">
        <v>736</v>
      </c>
      <c r="B184">
        <v>10076</v>
      </c>
      <c r="C184">
        <v>0</v>
      </c>
      <c r="D184">
        <v>0</v>
      </c>
      <c r="E184">
        <v>0</v>
      </c>
      <c r="F184">
        <v>1</v>
      </c>
      <c r="G184">
        <v>5</v>
      </c>
      <c r="H184">
        <v>3</v>
      </c>
      <c r="I184">
        <v>0</v>
      </c>
      <c r="J184">
        <v>55315</v>
      </c>
      <c r="K184">
        <v>0</v>
      </c>
      <c r="L184">
        <v>20</v>
      </c>
      <c r="M184" t="s">
        <v>76</v>
      </c>
      <c r="N184" t="s">
        <v>47</v>
      </c>
      <c r="O184">
        <v>2149</v>
      </c>
      <c r="P184" t="s">
        <v>737</v>
      </c>
      <c r="Q184" t="s">
        <v>78</v>
      </c>
      <c r="R184" t="s">
        <v>50</v>
      </c>
      <c r="S184" t="s">
        <v>51</v>
      </c>
      <c r="T184" t="s">
        <v>52</v>
      </c>
      <c r="U184" t="s">
        <v>118</v>
      </c>
      <c r="V184" t="s">
        <v>66</v>
      </c>
      <c r="Y184" t="s">
        <v>55</v>
      </c>
      <c r="Z184" t="s">
        <v>56</v>
      </c>
      <c r="AA184" t="s">
        <v>57</v>
      </c>
      <c r="AB184" t="s">
        <v>113</v>
      </c>
      <c r="AC184">
        <v>19</v>
      </c>
      <c r="AD184" t="s">
        <v>59</v>
      </c>
      <c r="AE184" t="s">
        <v>73</v>
      </c>
      <c r="AF184">
        <v>5</v>
      </c>
      <c r="AG184">
        <v>5</v>
      </c>
      <c r="AH184">
        <v>0</v>
      </c>
      <c r="AI184" t="s">
        <v>510</v>
      </c>
      <c r="AJ184">
        <v>0</v>
      </c>
      <c r="AK184">
        <v>16</v>
      </c>
    </row>
    <row r="185" spans="1:37">
      <c r="A185" t="s">
        <v>738</v>
      </c>
      <c r="B185">
        <v>10145</v>
      </c>
      <c r="C185">
        <v>1</v>
      </c>
      <c r="D185">
        <v>1</v>
      </c>
      <c r="E185">
        <v>0</v>
      </c>
      <c r="F185">
        <v>1</v>
      </c>
      <c r="G185">
        <v>5</v>
      </c>
      <c r="H185">
        <v>3</v>
      </c>
      <c r="I185">
        <v>0</v>
      </c>
      <c r="J185">
        <v>62810</v>
      </c>
      <c r="K185">
        <v>0</v>
      </c>
      <c r="L185">
        <v>19</v>
      </c>
      <c r="M185" t="s">
        <v>46</v>
      </c>
      <c r="N185" t="s">
        <v>47</v>
      </c>
      <c r="O185">
        <v>2184</v>
      </c>
      <c r="P185" t="s">
        <v>739</v>
      </c>
      <c r="Q185" t="s">
        <v>78</v>
      </c>
      <c r="R185" t="s">
        <v>65</v>
      </c>
      <c r="S185" t="s">
        <v>51</v>
      </c>
      <c r="T185" t="s">
        <v>52</v>
      </c>
      <c r="U185" t="s">
        <v>118</v>
      </c>
      <c r="V185" t="s">
        <v>311</v>
      </c>
      <c r="Y185" t="s">
        <v>55</v>
      </c>
      <c r="Z185" t="s">
        <v>56</v>
      </c>
      <c r="AA185" t="s">
        <v>57</v>
      </c>
      <c r="AB185" t="s">
        <v>81</v>
      </c>
      <c r="AC185">
        <v>20</v>
      </c>
      <c r="AD185" t="s">
        <v>196</v>
      </c>
      <c r="AE185" t="s">
        <v>73</v>
      </c>
      <c r="AF185">
        <v>3.93</v>
      </c>
      <c r="AG185">
        <v>3</v>
      </c>
      <c r="AH185">
        <v>0</v>
      </c>
      <c r="AI185" t="s">
        <v>266</v>
      </c>
      <c r="AJ185">
        <v>0</v>
      </c>
      <c r="AK185">
        <v>20</v>
      </c>
    </row>
    <row r="186" spans="1:37">
      <c r="A186" t="s">
        <v>740</v>
      </c>
      <c r="B186">
        <v>10202</v>
      </c>
      <c r="C186">
        <v>1</v>
      </c>
      <c r="D186">
        <v>1</v>
      </c>
      <c r="E186">
        <v>1</v>
      </c>
      <c r="F186">
        <v>2</v>
      </c>
      <c r="G186">
        <v>6</v>
      </c>
      <c r="H186">
        <v>3</v>
      </c>
      <c r="I186">
        <v>0</v>
      </c>
      <c r="J186">
        <v>63291</v>
      </c>
      <c r="K186">
        <v>0</v>
      </c>
      <c r="L186">
        <v>3</v>
      </c>
      <c r="M186" t="s">
        <v>242</v>
      </c>
      <c r="N186" t="s">
        <v>145</v>
      </c>
      <c r="O186">
        <v>78789</v>
      </c>
      <c r="P186" t="s">
        <v>741</v>
      </c>
      <c r="Q186" t="s">
        <v>49</v>
      </c>
      <c r="R186" t="s">
        <v>65</v>
      </c>
      <c r="S186" t="s">
        <v>51</v>
      </c>
      <c r="T186" t="s">
        <v>52</v>
      </c>
      <c r="U186" t="s">
        <v>149</v>
      </c>
      <c r="V186" t="s">
        <v>320</v>
      </c>
      <c r="Y186" t="s">
        <v>55</v>
      </c>
      <c r="Z186" t="s">
        <v>56</v>
      </c>
      <c r="AA186" t="s">
        <v>247</v>
      </c>
      <c r="AB186" t="s">
        <v>292</v>
      </c>
      <c r="AC186">
        <v>21</v>
      </c>
      <c r="AD186" t="s">
        <v>393</v>
      </c>
      <c r="AE186" t="s">
        <v>73</v>
      </c>
      <c r="AF186">
        <v>3.4</v>
      </c>
      <c r="AG186">
        <v>4</v>
      </c>
      <c r="AH186">
        <v>0</v>
      </c>
      <c r="AI186" t="s">
        <v>394</v>
      </c>
      <c r="AJ186">
        <v>0</v>
      </c>
      <c r="AK186">
        <v>7</v>
      </c>
    </row>
    <row r="187" spans="1:37">
      <c r="A187" t="s">
        <v>742</v>
      </c>
      <c r="B187">
        <v>10128</v>
      </c>
      <c r="C187">
        <v>0</v>
      </c>
      <c r="D187">
        <v>0</v>
      </c>
      <c r="E187">
        <v>0</v>
      </c>
      <c r="F187">
        <v>5</v>
      </c>
      <c r="G187">
        <v>5</v>
      </c>
      <c r="H187">
        <v>3</v>
      </c>
      <c r="I187">
        <v>1</v>
      </c>
      <c r="J187">
        <v>62659</v>
      </c>
      <c r="K187">
        <v>1</v>
      </c>
      <c r="L187">
        <v>19</v>
      </c>
      <c r="M187" t="s">
        <v>46</v>
      </c>
      <c r="N187" t="s">
        <v>47</v>
      </c>
      <c r="O187">
        <v>1760</v>
      </c>
      <c r="P187" t="s">
        <v>743</v>
      </c>
      <c r="Q187" t="s">
        <v>78</v>
      </c>
      <c r="R187" t="s">
        <v>50</v>
      </c>
      <c r="S187" t="s">
        <v>51</v>
      </c>
      <c r="T187" t="s">
        <v>52</v>
      </c>
      <c r="U187" t="s">
        <v>118</v>
      </c>
      <c r="V187" t="s">
        <v>139</v>
      </c>
      <c r="X187" t="s">
        <v>744</v>
      </c>
      <c r="Y187" t="s">
        <v>134</v>
      </c>
      <c r="Z187" t="s">
        <v>69</v>
      </c>
      <c r="AA187" t="s">
        <v>57</v>
      </c>
      <c r="AB187" t="s">
        <v>151</v>
      </c>
      <c r="AC187">
        <v>18</v>
      </c>
      <c r="AD187" t="s">
        <v>121</v>
      </c>
      <c r="AE187" t="s">
        <v>73</v>
      </c>
      <c r="AF187">
        <v>4.18</v>
      </c>
      <c r="AG187">
        <v>4</v>
      </c>
      <c r="AH187">
        <v>0</v>
      </c>
      <c r="AI187" t="s">
        <v>745</v>
      </c>
      <c r="AJ187">
        <v>0</v>
      </c>
      <c r="AK187">
        <v>17</v>
      </c>
    </row>
    <row r="188" spans="1:37">
      <c r="A188" t="s">
        <v>746</v>
      </c>
      <c r="B188">
        <v>10068</v>
      </c>
      <c r="C188">
        <v>0</v>
      </c>
      <c r="D188">
        <v>0</v>
      </c>
      <c r="E188">
        <v>0</v>
      </c>
      <c r="F188">
        <v>1</v>
      </c>
      <c r="G188">
        <v>5</v>
      </c>
      <c r="H188">
        <v>3</v>
      </c>
      <c r="I188">
        <v>0</v>
      </c>
      <c r="J188">
        <v>55688</v>
      </c>
      <c r="K188">
        <v>0</v>
      </c>
      <c r="L188">
        <v>19</v>
      </c>
      <c r="M188" t="s">
        <v>46</v>
      </c>
      <c r="N188" t="s">
        <v>47</v>
      </c>
      <c r="O188">
        <v>2346</v>
      </c>
      <c r="P188" t="s">
        <v>600</v>
      </c>
      <c r="Q188" t="s">
        <v>78</v>
      </c>
      <c r="R188" t="s">
        <v>50</v>
      </c>
      <c r="S188" t="s">
        <v>51</v>
      </c>
      <c r="T188" t="s">
        <v>52</v>
      </c>
      <c r="U188" t="s">
        <v>53</v>
      </c>
      <c r="V188" t="s">
        <v>66</v>
      </c>
      <c r="Y188" t="s">
        <v>55</v>
      </c>
      <c r="Z188" t="s">
        <v>56</v>
      </c>
      <c r="AA188" t="s">
        <v>57</v>
      </c>
      <c r="AB188" t="s">
        <v>58</v>
      </c>
      <c r="AC188">
        <v>22</v>
      </c>
      <c r="AD188" t="s">
        <v>196</v>
      </c>
      <c r="AE188" t="s">
        <v>73</v>
      </c>
      <c r="AF188">
        <v>5</v>
      </c>
      <c r="AG188">
        <v>4</v>
      </c>
      <c r="AH188">
        <v>0</v>
      </c>
      <c r="AI188" t="s">
        <v>240</v>
      </c>
      <c r="AJ188">
        <v>0</v>
      </c>
      <c r="AK188">
        <v>10</v>
      </c>
    </row>
    <row r="189" spans="1:37">
      <c r="A189" t="s">
        <v>747</v>
      </c>
      <c r="B189">
        <v>10116</v>
      </c>
      <c r="C189">
        <v>0</v>
      </c>
      <c r="D189">
        <v>0</v>
      </c>
      <c r="E189">
        <v>1</v>
      </c>
      <c r="F189">
        <v>1</v>
      </c>
      <c r="G189">
        <v>5</v>
      </c>
      <c r="H189">
        <v>3</v>
      </c>
      <c r="I189">
        <v>0</v>
      </c>
      <c r="J189">
        <v>83667</v>
      </c>
      <c r="K189">
        <v>0</v>
      </c>
      <c r="L189">
        <v>18</v>
      </c>
      <c r="M189" t="s">
        <v>217</v>
      </c>
      <c r="N189" t="s">
        <v>47</v>
      </c>
      <c r="O189">
        <v>2045</v>
      </c>
      <c r="P189" t="s">
        <v>748</v>
      </c>
      <c r="Q189" t="s">
        <v>49</v>
      </c>
      <c r="R189" t="s">
        <v>50</v>
      </c>
      <c r="S189" t="s">
        <v>51</v>
      </c>
      <c r="T189" t="s">
        <v>749</v>
      </c>
      <c r="U189" t="s">
        <v>750</v>
      </c>
      <c r="V189" t="s">
        <v>751</v>
      </c>
      <c r="Y189" t="s">
        <v>55</v>
      </c>
      <c r="Z189" t="s">
        <v>56</v>
      </c>
      <c r="AA189" t="s">
        <v>57</v>
      </c>
      <c r="AB189" t="s">
        <v>221</v>
      </c>
      <c r="AC189">
        <v>2</v>
      </c>
      <c r="AD189" t="s">
        <v>72</v>
      </c>
      <c r="AE189" t="s">
        <v>73</v>
      </c>
      <c r="AF189">
        <v>4.37</v>
      </c>
      <c r="AG189">
        <v>3</v>
      </c>
      <c r="AH189">
        <v>0</v>
      </c>
      <c r="AI189" t="s">
        <v>168</v>
      </c>
      <c r="AJ189">
        <v>0</v>
      </c>
      <c r="AK189">
        <v>2</v>
      </c>
    </row>
    <row r="190" spans="1:37">
      <c r="A190" t="s">
        <v>752</v>
      </c>
      <c r="B190">
        <v>10298</v>
      </c>
      <c r="C190">
        <v>0</v>
      </c>
      <c r="D190">
        <v>0</v>
      </c>
      <c r="E190">
        <v>1</v>
      </c>
      <c r="F190">
        <v>5</v>
      </c>
      <c r="G190">
        <v>5</v>
      </c>
      <c r="H190">
        <v>1</v>
      </c>
      <c r="I190">
        <v>0</v>
      </c>
      <c r="J190">
        <v>55800</v>
      </c>
      <c r="K190">
        <v>1</v>
      </c>
      <c r="L190">
        <v>20</v>
      </c>
      <c r="M190" t="s">
        <v>76</v>
      </c>
      <c r="N190" t="s">
        <v>47</v>
      </c>
      <c r="O190">
        <v>2472</v>
      </c>
      <c r="P190" t="s">
        <v>753</v>
      </c>
      <c r="Q190" t="s">
        <v>49</v>
      </c>
      <c r="R190" t="s">
        <v>50</v>
      </c>
      <c r="S190" t="s">
        <v>51</v>
      </c>
      <c r="T190" t="s">
        <v>52</v>
      </c>
      <c r="U190" t="s">
        <v>53</v>
      </c>
      <c r="V190" t="s">
        <v>245</v>
      </c>
      <c r="X190" t="s">
        <v>754</v>
      </c>
      <c r="Y190" t="s">
        <v>141</v>
      </c>
      <c r="Z190" t="s">
        <v>69</v>
      </c>
      <c r="AA190" t="s">
        <v>57</v>
      </c>
      <c r="AB190" t="s">
        <v>120</v>
      </c>
      <c r="AC190">
        <v>12</v>
      </c>
      <c r="AD190" t="s">
        <v>59</v>
      </c>
      <c r="AE190" t="s">
        <v>374</v>
      </c>
      <c r="AF190">
        <v>3</v>
      </c>
      <c r="AG190">
        <v>2</v>
      </c>
      <c r="AH190">
        <v>0</v>
      </c>
      <c r="AI190" t="s">
        <v>755</v>
      </c>
      <c r="AJ190">
        <v>6</v>
      </c>
      <c r="AK190">
        <v>6</v>
      </c>
    </row>
    <row r="191" spans="1:37">
      <c r="A191" t="s">
        <v>756</v>
      </c>
      <c r="B191">
        <v>10213</v>
      </c>
      <c r="C191">
        <v>1</v>
      </c>
      <c r="D191">
        <v>1</v>
      </c>
      <c r="E191">
        <v>1</v>
      </c>
      <c r="F191">
        <v>1</v>
      </c>
      <c r="G191">
        <v>5</v>
      </c>
      <c r="H191">
        <v>3</v>
      </c>
      <c r="I191">
        <v>0</v>
      </c>
      <c r="J191">
        <v>58207</v>
      </c>
      <c r="K191">
        <v>0</v>
      </c>
      <c r="L191">
        <v>20</v>
      </c>
      <c r="M191" t="s">
        <v>76</v>
      </c>
      <c r="N191" t="s">
        <v>47</v>
      </c>
      <c r="O191">
        <v>1450</v>
      </c>
      <c r="P191" t="s">
        <v>757</v>
      </c>
      <c r="Q191" t="s">
        <v>49</v>
      </c>
      <c r="R191" t="s">
        <v>65</v>
      </c>
      <c r="S191" t="s">
        <v>51</v>
      </c>
      <c r="T191" t="s">
        <v>52</v>
      </c>
      <c r="U191" t="s">
        <v>53</v>
      </c>
      <c r="V191" t="s">
        <v>360</v>
      </c>
      <c r="Y191" t="s">
        <v>55</v>
      </c>
      <c r="Z191" t="s">
        <v>56</v>
      </c>
      <c r="AA191" t="s">
        <v>57</v>
      </c>
      <c r="AB191" t="s">
        <v>135</v>
      </c>
      <c r="AC191">
        <v>14</v>
      </c>
      <c r="AD191" t="s">
        <v>59</v>
      </c>
      <c r="AE191" t="s">
        <v>73</v>
      </c>
      <c r="AF191">
        <v>3.7</v>
      </c>
      <c r="AG191">
        <v>3</v>
      </c>
      <c r="AH191">
        <v>0</v>
      </c>
      <c r="AI191" t="s">
        <v>560</v>
      </c>
      <c r="AJ191">
        <v>0</v>
      </c>
      <c r="AK191">
        <v>14</v>
      </c>
    </row>
    <row r="192" spans="1:37">
      <c r="A192" t="s">
        <v>758</v>
      </c>
      <c r="B192">
        <v>10288</v>
      </c>
      <c r="C192">
        <v>1</v>
      </c>
      <c r="D192">
        <v>1</v>
      </c>
      <c r="E192">
        <v>1</v>
      </c>
      <c r="F192">
        <v>1</v>
      </c>
      <c r="G192">
        <v>3</v>
      </c>
      <c r="H192">
        <v>2</v>
      </c>
      <c r="I192">
        <v>1</v>
      </c>
      <c r="J192">
        <v>157000</v>
      </c>
      <c r="K192">
        <v>0</v>
      </c>
      <c r="L192">
        <v>13</v>
      </c>
      <c r="M192" t="s">
        <v>759</v>
      </c>
      <c r="N192" t="s">
        <v>47</v>
      </c>
      <c r="O192">
        <v>2134</v>
      </c>
      <c r="P192" t="s">
        <v>760</v>
      </c>
      <c r="Q192" t="s">
        <v>49</v>
      </c>
      <c r="R192" t="s">
        <v>65</v>
      </c>
      <c r="S192" t="s">
        <v>171</v>
      </c>
      <c r="T192" t="s">
        <v>131</v>
      </c>
      <c r="U192" t="s">
        <v>118</v>
      </c>
      <c r="V192" t="s">
        <v>761</v>
      </c>
      <c r="Y192" t="s">
        <v>55</v>
      </c>
      <c r="Z192" t="s">
        <v>56</v>
      </c>
      <c r="AA192" t="s">
        <v>70</v>
      </c>
      <c r="AB192" t="s">
        <v>259</v>
      </c>
      <c r="AC192">
        <v>5</v>
      </c>
      <c r="AD192" t="s">
        <v>121</v>
      </c>
      <c r="AE192" t="s">
        <v>197</v>
      </c>
      <c r="AF192">
        <v>2.39</v>
      </c>
      <c r="AG192">
        <v>3</v>
      </c>
      <c r="AH192">
        <v>6</v>
      </c>
      <c r="AI192" t="s">
        <v>263</v>
      </c>
      <c r="AJ192">
        <v>4</v>
      </c>
      <c r="AK192">
        <v>13</v>
      </c>
    </row>
    <row r="193" spans="1:37">
      <c r="A193" t="s">
        <v>762</v>
      </c>
      <c r="B193">
        <v>10025</v>
      </c>
      <c r="C193">
        <v>0</v>
      </c>
      <c r="D193">
        <v>0</v>
      </c>
      <c r="E193">
        <v>0</v>
      </c>
      <c r="F193">
        <v>1</v>
      </c>
      <c r="G193">
        <v>5</v>
      </c>
      <c r="H193">
        <v>4</v>
      </c>
      <c r="I193">
        <v>0</v>
      </c>
      <c r="J193">
        <v>72460</v>
      </c>
      <c r="K193">
        <v>0</v>
      </c>
      <c r="L193">
        <v>20</v>
      </c>
      <c r="M193" t="s">
        <v>76</v>
      </c>
      <c r="N193" t="s">
        <v>47</v>
      </c>
      <c r="O193">
        <v>2126</v>
      </c>
      <c r="P193" t="s">
        <v>763</v>
      </c>
      <c r="Q193" t="s">
        <v>78</v>
      </c>
      <c r="R193" t="s">
        <v>50</v>
      </c>
      <c r="S193" t="s">
        <v>51</v>
      </c>
      <c r="T193" t="s">
        <v>52</v>
      </c>
      <c r="U193" t="s">
        <v>118</v>
      </c>
      <c r="V193" t="s">
        <v>764</v>
      </c>
      <c r="Y193" t="s">
        <v>55</v>
      </c>
      <c r="Z193" t="s">
        <v>56</v>
      </c>
      <c r="AA193" t="s">
        <v>57</v>
      </c>
      <c r="AB193" t="s">
        <v>81</v>
      </c>
      <c r="AC193">
        <v>20</v>
      </c>
      <c r="AD193" t="s">
        <v>72</v>
      </c>
      <c r="AE193" t="s">
        <v>60</v>
      </c>
      <c r="AF193">
        <v>4.7</v>
      </c>
      <c r="AG193">
        <v>3</v>
      </c>
      <c r="AH193">
        <v>0</v>
      </c>
      <c r="AI193" t="s">
        <v>168</v>
      </c>
      <c r="AJ193">
        <v>0</v>
      </c>
      <c r="AK193">
        <v>1</v>
      </c>
    </row>
    <row r="194" spans="1:37">
      <c r="A194" t="s">
        <v>765</v>
      </c>
      <c r="B194">
        <v>10223</v>
      </c>
      <c r="C194">
        <v>0</v>
      </c>
      <c r="D194">
        <v>0</v>
      </c>
      <c r="E194">
        <v>1</v>
      </c>
      <c r="F194">
        <v>3</v>
      </c>
      <c r="G194">
        <v>5</v>
      </c>
      <c r="H194">
        <v>3</v>
      </c>
      <c r="I194">
        <v>1</v>
      </c>
      <c r="J194">
        <v>72106</v>
      </c>
      <c r="K194">
        <v>0</v>
      </c>
      <c r="L194">
        <v>20</v>
      </c>
      <c r="M194" t="s">
        <v>76</v>
      </c>
      <c r="N194" t="s">
        <v>47</v>
      </c>
      <c r="O194">
        <v>2127</v>
      </c>
      <c r="P194" t="s">
        <v>766</v>
      </c>
      <c r="Q194" t="s">
        <v>49</v>
      </c>
      <c r="R194" t="s">
        <v>50</v>
      </c>
      <c r="S194" t="s">
        <v>51</v>
      </c>
      <c r="T194" t="s">
        <v>52</v>
      </c>
      <c r="U194" t="s">
        <v>118</v>
      </c>
      <c r="V194" t="s">
        <v>99</v>
      </c>
      <c r="Y194" t="s">
        <v>55</v>
      </c>
      <c r="Z194" t="s">
        <v>56</v>
      </c>
      <c r="AA194" t="s">
        <v>57</v>
      </c>
      <c r="AB194" t="s">
        <v>151</v>
      </c>
      <c r="AC194">
        <v>18</v>
      </c>
      <c r="AD194" t="s">
        <v>121</v>
      </c>
      <c r="AE194" t="s">
        <v>73</v>
      </c>
      <c r="AF194">
        <v>4.0999999999999996</v>
      </c>
      <c r="AG194">
        <v>4</v>
      </c>
      <c r="AH194">
        <v>0</v>
      </c>
      <c r="AI194" t="s">
        <v>364</v>
      </c>
      <c r="AJ194">
        <v>0</v>
      </c>
      <c r="AK194">
        <v>12</v>
      </c>
    </row>
    <row r="195" spans="1:37">
      <c r="A195" t="s">
        <v>767</v>
      </c>
      <c r="B195">
        <v>10151</v>
      </c>
      <c r="C195">
        <v>1</v>
      </c>
      <c r="D195">
        <v>1</v>
      </c>
      <c r="E195">
        <v>0</v>
      </c>
      <c r="F195">
        <v>1</v>
      </c>
      <c r="G195">
        <v>3</v>
      </c>
      <c r="H195">
        <v>3</v>
      </c>
      <c r="I195">
        <v>0</v>
      </c>
      <c r="J195">
        <v>52599</v>
      </c>
      <c r="K195">
        <v>0</v>
      </c>
      <c r="L195">
        <v>15</v>
      </c>
      <c r="M195" t="s">
        <v>455</v>
      </c>
      <c r="N195" t="s">
        <v>47</v>
      </c>
      <c r="O195">
        <v>2048</v>
      </c>
      <c r="P195" t="s">
        <v>768</v>
      </c>
      <c r="Q195" t="s">
        <v>78</v>
      </c>
      <c r="R195" t="s">
        <v>65</v>
      </c>
      <c r="S195" t="s">
        <v>51</v>
      </c>
      <c r="T195" t="s">
        <v>52</v>
      </c>
      <c r="U195" t="s">
        <v>53</v>
      </c>
      <c r="V195" t="s">
        <v>213</v>
      </c>
      <c r="Y195" t="s">
        <v>55</v>
      </c>
      <c r="Z195" t="s">
        <v>56</v>
      </c>
      <c r="AA195" t="s">
        <v>70</v>
      </c>
      <c r="AB195" t="s">
        <v>127</v>
      </c>
      <c r="AC195">
        <v>7</v>
      </c>
      <c r="AD195" t="s">
        <v>196</v>
      </c>
      <c r="AE195" t="s">
        <v>73</v>
      </c>
      <c r="AF195">
        <v>3.81</v>
      </c>
      <c r="AG195">
        <v>3</v>
      </c>
      <c r="AH195">
        <v>6</v>
      </c>
      <c r="AI195" t="s">
        <v>570</v>
      </c>
      <c r="AJ195">
        <v>0</v>
      </c>
      <c r="AK195">
        <v>6</v>
      </c>
    </row>
    <row r="196" spans="1:37">
      <c r="A196" t="s">
        <v>769</v>
      </c>
      <c r="B196">
        <v>10254</v>
      </c>
      <c r="C196">
        <v>0</v>
      </c>
      <c r="D196">
        <v>2</v>
      </c>
      <c r="E196">
        <v>0</v>
      </c>
      <c r="F196">
        <v>1</v>
      </c>
      <c r="G196">
        <v>5</v>
      </c>
      <c r="H196">
        <v>3</v>
      </c>
      <c r="I196">
        <v>0</v>
      </c>
      <c r="J196">
        <v>63430</v>
      </c>
      <c r="K196">
        <v>0</v>
      </c>
      <c r="L196">
        <v>19</v>
      </c>
      <c r="M196" t="s">
        <v>46</v>
      </c>
      <c r="N196" t="s">
        <v>47</v>
      </c>
      <c r="O196">
        <v>2453</v>
      </c>
      <c r="P196" t="s">
        <v>770</v>
      </c>
      <c r="Q196" t="s">
        <v>78</v>
      </c>
      <c r="R196" t="s">
        <v>90</v>
      </c>
      <c r="S196" t="s">
        <v>51</v>
      </c>
      <c r="T196" t="s">
        <v>52</v>
      </c>
      <c r="U196" t="s">
        <v>53</v>
      </c>
      <c r="V196" t="s">
        <v>601</v>
      </c>
      <c r="Y196" t="s">
        <v>55</v>
      </c>
      <c r="Z196" t="s">
        <v>56</v>
      </c>
      <c r="AA196" t="s">
        <v>57</v>
      </c>
      <c r="AB196" t="s">
        <v>86</v>
      </c>
      <c r="AC196">
        <v>16</v>
      </c>
      <c r="AD196" t="s">
        <v>59</v>
      </c>
      <c r="AE196" t="s">
        <v>73</v>
      </c>
      <c r="AF196">
        <v>4.4000000000000004</v>
      </c>
      <c r="AG196">
        <v>4</v>
      </c>
      <c r="AH196">
        <v>0</v>
      </c>
      <c r="AI196" t="s">
        <v>61</v>
      </c>
      <c r="AJ196">
        <v>0</v>
      </c>
      <c r="AK196">
        <v>18</v>
      </c>
    </row>
    <row r="197" spans="1:37">
      <c r="A197" t="s">
        <v>771</v>
      </c>
      <c r="B197">
        <v>10120</v>
      </c>
      <c r="C197">
        <v>0</v>
      </c>
      <c r="D197">
        <v>3</v>
      </c>
      <c r="E197">
        <v>1</v>
      </c>
      <c r="F197">
        <v>1</v>
      </c>
      <c r="G197">
        <v>5</v>
      </c>
      <c r="H197">
        <v>3</v>
      </c>
      <c r="I197">
        <v>0</v>
      </c>
      <c r="J197">
        <v>74417</v>
      </c>
      <c r="K197">
        <v>0</v>
      </c>
      <c r="L197">
        <v>20</v>
      </c>
      <c r="M197" t="s">
        <v>76</v>
      </c>
      <c r="N197" t="s">
        <v>47</v>
      </c>
      <c r="O197">
        <v>1460</v>
      </c>
      <c r="P197" t="s">
        <v>772</v>
      </c>
      <c r="Q197" t="s">
        <v>49</v>
      </c>
      <c r="R197" t="s">
        <v>238</v>
      </c>
      <c r="S197" t="s">
        <v>51</v>
      </c>
      <c r="T197" t="s">
        <v>52</v>
      </c>
      <c r="U197" t="s">
        <v>118</v>
      </c>
      <c r="V197" t="s">
        <v>764</v>
      </c>
      <c r="Y197" t="s">
        <v>55</v>
      </c>
      <c r="Z197" t="s">
        <v>56</v>
      </c>
      <c r="AA197" t="s">
        <v>57</v>
      </c>
      <c r="AB197" t="s">
        <v>58</v>
      </c>
      <c r="AC197">
        <v>22</v>
      </c>
      <c r="AD197" t="s">
        <v>59</v>
      </c>
      <c r="AE197" t="s">
        <v>73</v>
      </c>
      <c r="AF197">
        <v>4.29</v>
      </c>
      <c r="AG197">
        <v>5</v>
      </c>
      <c r="AH197">
        <v>0</v>
      </c>
      <c r="AI197" t="s">
        <v>343</v>
      </c>
      <c r="AJ197">
        <v>0</v>
      </c>
      <c r="AK197">
        <v>11</v>
      </c>
    </row>
    <row r="198" spans="1:37">
      <c r="A198" t="s">
        <v>773</v>
      </c>
      <c r="B198">
        <v>10216</v>
      </c>
      <c r="C198">
        <v>0</v>
      </c>
      <c r="D198">
        <v>0</v>
      </c>
      <c r="E198">
        <v>1</v>
      </c>
      <c r="F198">
        <v>1</v>
      </c>
      <c r="G198">
        <v>5</v>
      </c>
      <c r="H198">
        <v>3</v>
      </c>
      <c r="I198">
        <v>0</v>
      </c>
      <c r="J198">
        <v>57575</v>
      </c>
      <c r="K198">
        <v>0</v>
      </c>
      <c r="L198">
        <v>19</v>
      </c>
      <c r="M198" t="s">
        <v>46</v>
      </c>
      <c r="N198" t="s">
        <v>47</v>
      </c>
      <c r="O198">
        <v>1550</v>
      </c>
      <c r="P198" t="s">
        <v>774</v>
      </c>
      <c r="Q198" t="s">
        <v>49</v>
      </c>
      <c r="R198" t="s">
        <v>50</v>
      </c>
      <c r="S198" t="s">
        <v>51</v>
      </c>
      <c r="T198" t="s">
        <v>52</v>
      </c>
      <c r="U198" t="s">
        <v>182</v>
      </c>
      <c r="V198" t="s">
        <v>183</v>
      </c>
      <c r="Y198" t="s">
        <v>55</v>
      </c>
      <c r="Z198" t="s">
        <v>56</v>
      </c>
      <c r="AA198" t="s">
        <v>57</v>
      </c>
      <c r="AB198" t="s">
        <v>81</v>
      </c>
      <c r="AC198">
        <v>20</v>
      </c>
      <c r="AD198" t="s">
        <v>59</v>
      </c>
      <c r="AE198" t="s">
        <v>73</v>
      </c>
      <c r="AF198">
        <v>4.0999999999999996</v>
      </c>
      <c r="AG198">
        <v>4</v>
      </c>
      <c r="AH198">
        <v>0</v>
      </c>
      <c r="AI198" t="s">
        <v>340</v>
      </c>
      <c r="AJ198">
        <v>0</v>
      </c>
      <c r="AK198">
        <v>13</v>
      </c>
    </row>
    <row r="199" spans="1:37">
      <c r="A199" t="s">
        <v>775</v>
      </c>
      <c r="B199">
        <v>10079</v>
      </c>
      <c r="C199">
        <v>0</v>
      </c>
      <c r="D199">
        <v>0</v>
      </c>
      <c r="E199">
        <v>1</v>
      </c>
      <c r="F199">
        <v>1</v>
      </c>
      <c r="G199">
        <v>3</v>
      </c>
      <c r="H199">
        <v>3</v>
      </c>
      <c r="I199">
        <v>0</v>
      </c>
      <c r="J199">
        <v>87921</v>
      </c>
      <c r="K199">
        <v>0</v>
      </c>
      <c r="L199">
        <v>22</v>
      </c>
      <c r="M199" t="s">
        <v>678</v>
      </c>
      <c r="N199" t="s">
        <v>47</v>
      </c>
      <c r="O199">
        <v>2056</v>
      </c>
      <c r="P199" t="s">
        <v>776</v>
      </c>
      <c r="Q199" t="s">
        <v>49</v>
      </c>
      <c r="R199" t="s">
        <v>50</v>
      </c>
      <c r="S199" t="s">
        <v>51</v>
      </c>
      <c r="T199" t="s">
        <v>52</v>
      </c>
      <c r="U199" t="s">
        <v>182</v>
      </c>
      <c r="V199" t="s">
        <v>777</v>
      </c>
      <c r="Y199" t="s">
        <v>55</v>
      </c>
      <c r="Z199" t="s">
        <v>56</v>
      </c>
      <c r="AA199" t="s">
        <v>70</v>
      </c>
      <c r="AB199" t="s">
        <v>386</v>
      </c>
      <c r="AC199">
        <v>13</v>
      </c>
      <c r="AD199" t="s">
        <v>72</v>
      </c>
      <c r="AE199" t="s">
        <v>73</v>
      </c>
      <c r="AF199">
        <v>5</v>
      </c>
      <c r="AG199">
        <v>3</v>
      </c>
      <c r="AH199">
        <v>6</v>
      </c>
      <c r="AI199" t="s">
        <v>115</v>
      </c>
      <c r="AJ199">
        <v>0</v>
      </c>
      <c r="AK199">
        <v>17</v>
      </c>
    </row>
    <row r="200" spans="1:37">
      <c r="A200" t="s">
        <v>778</v>
      </c>
      <c r="B200">
        <v>10215</v>
      </c>
      <c r="C200">
        <v>0</v>
      </c>
      <c r="D200">
        <v>0</v>
      </c>
      <c r="E200">
        <v>1</v>
      </c>
      <c r="F200">
        <v>5</v>
      </c>
      <c r="G200">
        <v>5</v>
      </c>
      <c r="H200">
        <v>3</v>
      </c>
      <c r="I200">
        <v>1</v>
      </c>
      <c r="J200">
        <v>50470</v>
      </c>
      <c r="K200">
        <v>1</v>
      </c>
      <c r="L200">
        <v>19</v>
      </c>
      <c r="M200" t="s">
        <v>46</v>
      </c>
      <c r="N200" t="s">
        <v>47</v>
      </c>
      <c r="O200">
        <v>2110</v>
      </c>
      <c r="P200" t="s">
        <v>779</v>
      </c>
      <c r="Q200" t="s">
        <v>49</v>
      </c>
      <c r="R200" t="s">
        <v>50</v>
      </c>
      <c r="S200" t="s">
        <v>51</v>
      </c>
      <c r="T200" t="s">
        <v>52</v>
      </c>
      <c r="U200" t="s">
        <v>118</v>
      </c>
      <c r="V200" t="s">
        <v>316</v>
      </c>
      <c r="X200" t="s">
        <v>200</v>
      </c>
      <c r="Y200" t="s">
        <v>93</v>
      </c>
      <c r="Z200" t="s">
        <v>69</v>
      </c>
      <c r="AA200" t="s">
        <v>57</v>
      </c>
      <c r="AB200" t="s">
        <v>94</v>
      </c>
      <c r="AC200">
        <v>39</v>
      </c>
      <c r="AD200" t="s">
        <v>121</v>
      </c>
      <c r="AE200" t="s">
        <v>73</v>
      </c>
      <c r="AF200">
        <v>4.3</v>
      </c>
      <c r="AG200">
        <v>3</v>
      </c>
      <c r="AH200">
        <v>0</v>
      </c>
      <c r="AI200" t="s">
        <v>780</v>
      </c>
      <c r="AJ200">
        <v>0</v>
      </c>
      <c r="AK200">
        <v>19</v>
      </c>
    </row>
    <row r="201" spans="1:37">
      <c r="A201" t="s">
        <v>781</v>
      </c>
      <c r="B201">
        <v>10185</v>
      </c>
      <c r="C201">
        <v>1</v>
      </c>
      <c r="D201">
        <v>1</v>
      </c>
      <c r="E201">
        <v>1</v>
      </c>
      <c r="F201">
        <v>5</v>
      </c>
      <c r="G201">
        <v>5</v>
      </c>
      <c r="H201">
        <v>3</v>
      </c>
      <c r="I201">
        <v>0</v>
      </c>
      <c r="J201">
        <v>46664</v>
      </c>
      <c r="K201">
        <v>1</v>
      </c>
      <c r="L201">
        <v>19</v>
      </c>
      <c r="M201" t="s">
        <v>46</v>
      </c>
      <c r="N201" t="s">
        <v>47</v>
      </c>
      <c r="O201">
        <v>2421</v>
      </c>
      <c r="P201" t="s">
        <v>782</v>
      </c>
      <c r="Q201" t="s">
        <v>49</v>
      </c>
      <c r="R201" t="s">
        <v>65</v>
      </c>
      <c r="S201" t="s">
        <v>51</v>
      </c>
      <c r="T201" t="s">
        <v>52</v>
      </c>
      <c r="U201" t="s">
        <v>53</v>
      </c>
      <c r="V201" t="s">
        <v>601</v>
      </c>
      <c r="X201" t="s">
        <v>783</v>
      </c>
      <c r="Y201" t="s">
        <v>378</v>
      </c>
      <c r="Z201" t="s">
        <v>69</v>
      </c>
      <c r="AA201" t="s">
        <v>57</v>
      </c>
      <c r="AB201" t="s">
        <v>100</v>
      </c>
      <c r="AC201">
        <v>11</v>
      </c>
      <c r="AD201" t="s">
        <v>114</v>
      </c>
      <c r="AE201" t="s">
        <v>73</v>
      </c>
      <c r="AF201">
        <v>3.18</v>
      </c>
      <c r="AG201">
        <v>3</v>
      </c>
      <c r="AH201">
        <v>0</v>
      </c>
      <c r="AI201" t="s">
        <v>784</v>
      </c>
      <c r="AJ201">
        <v>0</v>
      </c>
      <c r="AK201">
        <v>10</v>
      </c>
    </row>
    <row r="202" spans="1:37">
      <c r="A202" t="s">
        <v>785</v>
      </c>
      <c r="B202">
        <v>10063</v>
      </c>
      <c r="C202">
        <v>1</v>
      </c>
      <c r="D202">
        <v>1</v>
      </c>
      <c r="E202">
        <v>1</v>
      </c>
      <c r="F202">
        <v>3</v>
      </c>
      <c r="G202">
        <v>5</v>
      </c>
      <c r="H202">
        <v>3</v>
      </c>
      <c r="I202">
        <v>0</v>
      </c>
      <c r="J202">
        <v>48495</v>
      </c>
      <c r="K202">
        <v>0</v>
      </c>
      <c r="L202">
        <v>19</v>
      </c>
      <c r="M202" t="s">
        <v>46</v>
      </c>
      <c r="N202" t="s">
        <v>47</v>
      </c>
      <c r="O202">
        <v>2136</v>
      </c>
      <c r="P202" t="s">
        <v>786</v>
      </c>
      <c r="Q202" t="s">
        <v>49</v>
      </c>
      <c r="R202" t="s">
        <v>65</v>
      </c>
      <c r="S202" t="s">
        <v>51</v>
      </c>
      <c r="T202" t="s">
        <v>52</v>
      </c>
      <c r="U202" t="s">
        <v>53</v>
      </c>
      <c r="V202" t="s">
        <v>285</v>
      </c>
      <c r="Y202" t="s">
        <v>55</v>
      </c>
      <c r="Z202" t="s">
        <v>56</v>
      </c>
      <c r="AA202" t="s">
        <v>57</v>
      </c>
      <c r="AB202" t="s">
        <v>113</v>
      </c>
      <c r="AC202">
        <v>19</v>
      </c>
      <c r="AD202" t="s">
        <v>59</v>
      </c>
      <c r="AE202" t="s">
        <v>73</v>
      </c>
      <c r="AF202">
        <v>5</v>
      </c>
      <c r="AG202">
        <v>5</v>
      </c>
      <c r="AH202">
        <v>0</v>
      </c>
      <c r="AI202" t="s">
        <v>128</v>
      </c>
      <c r="AJ202">
        <v>0</v>
      </c>
      <c r="AK202">
        <v>11</v>
      </c>
    </row>
    <row r="203" spans="1:37">
      <c r="A203" t="s">
        <v>787</v>
      </c>
      <c r="B203">
        <v>10037</v>
      </c>
      <c r="C203">
        <v>0</v>
      </c>
      <c r="D203">
        <v>3</v>
      </c>
      <c r="E203">
        <v>0</v>
      </c>
      <c r="F203">
        <v>1</v>
      </c>
      <c r="G203">
        <v>5</v>
      </c>
      <c r="H203">
        <v>4</v>
      </c>
      <c r="I203">
        <v>1</v>
      </c>
      <c r="J203">
        <v>52984</v>
      </c>
      <c r="K203">
        <v>0</v>
      </c>
      <c r="L203">
        <v>19</v>
      </c>
      <c r="M203" t="s">
        <v>46</v>
      </c>
      <c r="N203" t="s">
        <v>47</v>
      </c>
      <c r="O203">
        <v>1810</v>
      </c>
      <c r="P203" t="s">
        <v>788</v>
      </c>
      <c r="Q203" t="s">
        <v>78</v>
      </c>
      <c r="R203" t="s">
        <v>238</v>
      </c>
      <c r="S203" t="s">
        <v>51</v>
      </c>
      <c r="T203" t="s">
        <v>52</v>
      </c>
      <c r="U203" t="s">
        <v>118</v>
      </c>
      <c r="V203" t="s">
        <v>601</v>
      </c>
      <c r="Y203" t="s">
        <v>55</v>
      </c>
      <c r="Z203" t="s">
        <v>56</v>
      </c>
      <c r="AA203" t="s">
        <v>57</v>
      </c>
      <c r="AB203" t="s">
        <v>120</v>
      </c>
      <c r="AC203">
        <v>12</v>
      </c>
      <c r="AD203" t="s">
        <v>121</v>
      </c>
      <c r="AE203" t="s">
        <v>60</v>
      </c>
      <c r="AF203">
        <v>4</v>
      </c>
      <c r="AG203">
        <v>3</v>
      </c>
      <c r="AH203">
        <v>0</v>
      </c>
      <c r="AI203" t="s">
        <v>424</v>
      </c>
      <c r="AJ203">
        <v>0</v>
      </c>
      <c r="AK203">
        <v>12</v>
      </c>
    </row>
    <row r="204" spans="1:37">
      <c r="A204" t="s">
        <v>789</v>
      </c>
      <c r="B204">
        <v>10042</v>
      </c>
      <c r="C204">
        <v>0</v>
      </c>
      <c r="D204">
        <v>0</v>
      </c>
      <c r="E204">
        <v>0</v>
      </c>
      <c r="F204">
        <v>1</v>
      </c>
      <c r="G204">
        <v>6</v>
      </c>
      <c r="H204">
        <v>3</v>
      </c>
      <c r="I204">
        <v>0</v>
      </c>
      <c r="J204">
        <v>63695</v>
      </c>
      <c r="K204">
        <v>0</v>
      </c>
      <c r="L204">
        <v>3</v>
      </c>
      <c r="M204" t="s">
        <v>242</v>
      </c>
      <c r="N204" t="s">
        <v>790</v>
      </c>
      <c r="O204">
        <v>30428</v>
      </c>
      <c r="P204" t="s">
        <v>791</v>
      </c>
      <c r="Q204" t="s">
        <v>78</v>
      </c>
      <c r="R204" t="s">
        <v>50</v>
      </c>
      <c r="S204" t="s">
        <v>51</v>
      </c>
      <c r="T204" t="s">
        <v>52</v>
      </c>
      <c r="U204" t="s">
        <v>149</v>
      </c>
      <c r="V204" t="s">
        <v>183</v>
      </c>
      <c r="Y204" t="s">
        <v>55</v>
      </c>
      <c r="Z204" t="s">
        <v>56</v>
      </c>
      <c r="AA204" t="s">
        <v>247</v>
      </c>
      <c r="AB204" t="s">
        <v>292</v>
      </c>
      <c r="AC204">
        <v>21</v>
      </c>
      <c r="AD204" t="s">
        <v>72</v>
      </c>
      <c r="AE204" t="s">
        <v>73</v>
      </c>
      <c r="AF204">
        <v>5</v>
      </c>
      <c r="AG204">
        <v>5</v>
      </c>
      <c r="AH204">
        <v>0</v>
      </c>
      <c r="AI204" t="s">
        <v>122</v>
      </c>
      <c r="AJ204">
        <v>0</v>
      </c>
      <c r="AK204">
        <v>2</v>
      </c>
    </row>
    <row r="205" spans="1:37">
      <c r="A205" t="s">
        <v>792</v>
      </c>
      <c r="B205">
        <v>10206</v>
      </c>
      <c r="C205">
        <v>0</v>
      </c>
      <c r="D205">
        <v>0</v>
      </c>
      <c r="E205">
        <v>0</v>
      </c>
      <c r="F205">
        <v>1</v>
      </c>
      <c r="G205">
        <v>5</v>
      </c>
      <c r="H205">
        <v>3</v>
      </c>
      <c r="I205">
        <v>0</v>
      </c>
      <c r="J205">
        <v>62061</v>
      </c>
      <c r="K205">
        <v>0</v>
      </c>
      <c r="L205">
        <v>19</v>
      </c>
      <c r="M205" t="s">
        <v>46</v>
      </c>
      <c r="N205" t="s">
        <v>47</v>
      </c>
      <c r="O205">
        <v>2132</v>
      </c>
      <c r="P205" t="s">
        <v>770</v>
      </c>
      <c r="Q205" t="s">
        <v>78</v>
      </c>
      <c r="R205" t="s">
        <v>50</v>
      </c>
      <c r="S205" t="s">
        <v>51</v>
      </c>
      <c r="T205" t="s">
        <v>52</v>
      </c>
      <c r="U205" t="s">
        <v>53</v>
      </c>
      <c r="V205" t="s">
        <v>183</v>
      </c>
      <c r="Y205" t="s">
        <v>55</v>
      </c>
      <c r="Z205" t="s">
        <v>56</v>
      </c>
      <c r="AA205" t="s">
        <v>57</v>
      </c>
      <c r="AB205" t="s">
        <v>135</v>
      </c>
      <c r="AC205">
        <v>14</v>
      </c>
      <c r="AD205" t="s">
        <v>59</v>
      </c>
      <c r="AE205" t="s">
        <v>73</v>
      </c>
      <c r="AF205">
        <v>3.6</v>
      </c>
      <c r="AG205">
        <v>5</v>
      </c>
      <c r="AH205">
        <v>0</v>
      </c>
      <c r="AI205" t="s">
        <v>108</v>
      </c>
      <c r="AJ205">
        <v>0</v>
      </c>
      <c r="AK205">
        <v>4</v>
      </c>
    </row>
    <row r="206" spans="1:37">
      <c r="A206" t="s">
        <v>793</v>
      </c>
      <c r="B206">
        <v>10104</v>
      </c>
      <c r="C206">
        <v>0</v>
      </c>
      <c r="D206">
        <v>0</v>
      </c>
      <c r="E206">
        <v>0</v>
      </c>
      <c r="F206">
        <v>1</v>
      </c>
      <c r="G206">
        <v>5</v>
      </c>
      <c r="H206">
        <v>3</v>
      </c>
      <c r="I206">
        <v>0</v>
      </c>
      <c r="J206">
        <v>66738</v>
      </c>
      <c r="K206">
        <v>0</v>
      </c>
      <c r="L206">
        <v>20</v>
      </c>
      <c r="M206" t="s">
        <v>76</v>
      </c>
      <c r="N206" t="s">
        <v>47</v>
      </c>
      <c r="O206">
        <v>1040</v>
      </c>
      <c r="P206" t="s">
        <v>794</v>
      </c>
      <c r="Q206" t="s">
        <v>78</v>
      </c>
      <c r="R206" t="s">
        <v>50</v>
      </c>
      <c r="S206" t="s">
        <v>51</v>
      </c>
      <c r="T206" t="s">
        <v>52</v>
      </c>
      <c r="U206" t="s">
        <v>53</v>
      </c>
      <c r="V206" t="s">
        <v>105</v>
      </c>
      <c r="Y206" t="s">
        <v>55</v>
      </c>
      <c r="Z206" t="s">
        <v>56</v>
      </c>
      <c r="AA206" t="s">
        <v>57</v>
      </c>
      <c r="AB206" t="s">
        <v>86</v>
      </c>
      <c r="AC206">
        <v>16</v>
      </c>
      <c r="AD206" t="s">
        <v>72</v>
      </c>
      <c r="AE206" t="s">
        <v>73</v>
      </c>
      <c r="AF206">
        <v>4.53</v>
      </c>
      <c r="AG206">
        <v>5</v>
      </c>
      <c r="AH206">
        <v>0</v>
      </c>
      <c r="AI206" t="s">
        <v>494</v>
      </c>
      <c r="AJ206">
        <v>0</v>
      </c>
      <c r="AK206">
        <v>5</v>
      </c>
    </row>
    <row r="207" spans="1:37">
      <c r="A207" t="s">
        <v>795</v>
      </c>
      <c r="B207">
        <v>10303</v>
      </c>
      <c r="C207">
        <v>0</v>
      </c>
      <c r="D207">
        <v>0</v>
      </c>
      <c r="E207">
        <v>0</v>
      </c>
      <c r="F207">
        <v>4</v>
      </c>
      <c r="G207">
        <v>5</v>
      </c>
      <c r="H207">
        <v>1</v>
      </c>
      <c r="I207">
        <v>0</v>
      </c>
      <c r="J207">
        <v>52674</v>
      </c>
      <c r="K207">
        <v>1</v>
      </c>
      <c r="L207">
        <v>19</v>
      </c>
      <c r="M207" t="s">
        <v>46</v>
      </c>
      <c r="N207" t="s">
        <v>47</v>
      </c>
      <c r="O207">
        <v>2152</v>
      </c>
      <c r="P207" t="s">
        <v>796</v>
      </c>
      <c r="Q207" t="s">
        <v>78</v>
      </c>
      <c r="R207" t="s">
        <v>50</v>
      </c>
      <c r="S207" t="s">
        <v>51</v>
      </c>
      <c r="T207" t="s">
        <v>52</v>
      </c>
      <c r="U207" t="s">
        <v>149</v>
      </c>
      <c r="V207" t="s">
        <v>269</v>
      </c>
      <c r="X207" t="s">
        <v>797</v>
      </c>
      <c r="Y207" t="s">
        <v>178</v>
      </c>
      <c r="Z207" t="s">
        <v>163</v>
      </c>
      <c r="AA207" t="s">
        <v>57</v>
      </c>
      <c r="AB207" t="s">
        <v>81</v>
      </c>
      <c r="AC207">
        <v>20</v>
      </c>
      <c r="AD207" t="s">
        <v>59</v>
      </c>
      <c r="AE207" t="s">
        <v>374</v>
      </c>
      <c r="AF207">
        <v>2.33</v>
      </c>
      <c r="AG207">
        <v>2</v>
      </c>
      <c r="AH207">
        <v>0</v>
      </c>
      <c r="AI207" t="s">
        <v>798</v>
      </c>
      <c r="AJ207">
        <v>6</v>
      </c>
      <c r="AK207">
        <v>3</v>
      </c>
    </row>
    <row r="208" spans="1:37">
      <c r="A208" t="s">
        <v>799</v>
      </c>
      <c r="B208">
        <v>10078</v>
      </c>
      <c r="C208">
        <v>1</v>
      </c>
      <c r="D208">
        <v>1</v>
      </c>
      <c r="E208">
        <v>0</v>
      </c>
      <c r="F208">
        <v>5</v>
      </c>
      <c r="G208">
        <v>5</v>
      </c>
      <c r="H208">
        <v>3</v>
      </c>
      <c r="I208">
        <v>0</v>
      </c>
      <c r="J208">
        <v>71966</v>
      </c>
      <c r="K208">
        <v>1</v>
      </c>
      <c r="L208">
        <v>20</v>
      </c>
      <c r="M208" t="s">
        <v>76</v>
      </c>
      <c r="N208" t="s">
        <v>47</v>
      </c>
      <c r="O208">
        <v>2492</v>
      </c>
      <c r="P208" t="s">
        <v>800</v>
      </c>
      <c r="Q208" t="s">
        <v>78</v>
      </c>
      <c r="R208" t="s">
        <v>65</v>
      </c>
      <c r="S208" t="s">
        <v>51</v>
      </c>
      <c r="T208" t="s">
        <v>52</v>
      </c>
      <c r="U208" t="s">
        <v>182</v>
      </c>
      <c r="V208" t="s">
        <v>291</v>
      </c>
      <c r="X208" t="s">
        <v>189</v>
      </c>
      <c r="Y208" t="s">
        <v>141</v>
      </c>
      <c r="Z208" t="s">
        <v>69</v>
      </c>
      <c r="AA208" t="s">
        <v>57</v>
      </c>
      <c r="AB208" t="s">
        <v>94</v>
      </c>
      <c r="AC208">
        <v>39</v>
      </c>
      <c r="AD208" t="s">
        <v>59</v>
      </c>
      <c r="AE208" t="s">
        <v>73</v>
      </c>
      <c r="AF208">
        <v>5</v>
      </c>
      <c r="AG208">
        <v>3</v>
      </c>
      <c r="AH208">
        <v>0</v>
      </c>
      <c r="AI208" t="s">
        <v>801</v>
      </c>
      <c r="AJ208">
        <v>0</v>
      </c>
      <c r="AK208">
        <v>17</v>
      </c>
    </row>
    <row r="209" spans="1:37">
      <c r="A209" t="s">
        <v>802</v>
      </c>
      <c r="B209">
        <v>10121</v>
      </c>
      <c r="C209">
        <v>0</v>
      </c>
      <c r="D209">
        <v>0</v>
      </c>
      <c r="E209">
        <v>0</v>
      </c>
      <c r="F209">
        <v>1</v>
      </c>
      <c r="G209">
        <v>6</v>
      </c>
      <c r="H209">
        <v>3</v>
      </c>
      <c r="I209">
        <v>0</v>
      </c>
      <c r="J209">
        <v>63051</v>
      </c>
      <c r="K209">
        <v>0</v>
      </c>
      <c r="L209">
        <v>3</v>
      </c>
      <c r="M209" t="s">
        <v>242</v>
      </c>
      <c r="N209" t="s">
        <v>803</v>
      </c>
      <c r="O209">
        <v>33174</v>
      </c>
      <c r="P209" t="s">
        <v>804</v>
      </c>
      <c r="Q209" t="s">
        <v>78</v>
      </c>
      <c r="R209" t="s">
        <v>50</v>
      </c>
      <c r="S209" t="s">
        <v>51</v>
      </c>
      <c r="T209" t="s">
        <v>131</v>
      </c>
      <c r="U209" t="s">
        <v>53</v>
      </c>
      <c r="V209" t="s">
        <v>112</v>
      </c>
      <c r="Y209" t="s">
        <v>55</v>
      </c>
      <c r="Z209" t="s">
        <v>56</v>
      </c>
      <c r="AA209" t="s">
        <v>247</v>
      </c>
      <c r="AB209" t="s">
        <v>292</v>
      </c>
      <c r="AC209">
        <v>21</v>
      </c>
      <c r="AD209" t="s">
        <v>72</v>
      </c>
      <c r="AE209" t="s">
        <v>73</v>
      </c>
      <c r="AF209">
        <v>4.28</v>
      </c>
      <c r="AG209">
        <v>3</v>
      </c>
      <c r="AH209">
        <v>0</v>
      </c>
      <c r="AI209" t="s">
        <v>122</v>
      </c>
      <c r="AJ209">
        <v>0</v>
      </c>
      <c r="AK209">
        <v>1</v>
      </c>
    </row>
    <row r="210" spans="1:37">
      <c r="A210" t="s">
        <v>805</v>
      </c>
      <c r="B210">
        <v>10021</v>
      </c>
      <c r="C210">
        <v>1</v>
      </c>
      <c r="D210">
        <v>1</v>
      </c>
      <c r="E210">
        <v>1</v>
      </c>
      <c r="F210">
        <v>1</v>
      </c>
      <c r="G210">
        <v>5</v>
      </c>
      <c r="H210">
        <v>4</v>
      </c>
      <c r="I210">
        <v>0</v>
      </c>
      <c r="J210">
        <v>47414</v>
      </c>
      <c r="K210">
        <v>0</v>
      </c>
      <c r="L210">
        <v>19</v>
      </c>
      <c r="M210" t="s">
        <v>46</v>
      </c>
      <c r="N210" t="s">
        <v>47</v>
      </c>
      <c r="O210">
        <v>2478</v>
      </c>
      <c r="P210" t="s">
        <v>806</v>
      </c>
      <c r="Q210" t="s">
        <v>49</v>
      </c>
      <c r="R210" t="s">
        <v>65</v>
      </c>
      <c r="S210" t="s">
        <v>51</v>
      </c>
      <c r="T210" t="s">
        <v>52</v>
      </c>
      <c r="U210" t="s">
        <v>53</v>
      </c>
      <c r="V210" t="s">
        <v>112</v>
      </c>
      <c r="Y210" t="s">
        <v>55</v>
      </c>
      <c r="Z210" t="s">
        <v>56</v>
      </c>
      <c r="AA210" t="s">
        <v>57</v>
      </c>
      <c r="AB210" t="s">
        <v>151</v>
      </c>
      <c r="AC210">
        <v>18</v>
      </c>
      <c r="AD210" t="s">
        <v>59</v>
      </c>
      <c r="AE210" t="s">
        <v>60</v>
      </c>
      <c r="AF210">
        <v>5</v>
      </c>
      <c r="AG210">
        <v>3</v>
      </c>
      <c r="AH210">
        <v>0</v>
      </c>
      <c r="AI210" t="s">
        <v>510</v>
      </c>
      <c r="AJ210">
        <v>0</v>
      </c>
      <c r="AK210">
        <v>13</v>
      </c>
    </row>
    <row r="211" spans="1:37">
      <c r="A211" t="s">
        <v>807</v>
      </c>
      <c r="B211">
        <v>10281</v>
      </c>
      <c r="C211">
        <v>0</v>
      </c>
      <c r="D211">
        <v>0</v>
      </c>
      <c r="E211">
        <v>1</v>
      </c>
      <c r="F211">
        <v>1</v>
      </c>
      <c r="G211">
        <v>5</v>
      </c>
      <c r="H211">
        <v>2</v>
      </c>
      <c r="I211">
        <v>0</v>
      </c>
      <c r="J211">
        <v>53060</v>
      </c>
      <c r="K211">
        <v>0</v>
      </c>
      <c r="L211">
        <v>19</v>
      </c>
      <c r="M211" t="s">
        <v>46</v>
      </c>
      <c r="N211" t="s">
        <v>47</v>
      </c>
      <c r="O211">
        <v>1760</v>
      </c>
      <c r="P211" t="s">
        <v>808</v>
      </c>
      <c r="Q211" t="s">
        <v>49</v>
      </c>
      <c r="R211" t="s">
        <v>50</v>
      </c>
      <c r="S211" t="s">
        <v>51</v>
      </c>
      <c r="T211" t="s">
        <v>52</v>
      </c>
      <c r="U211" t="s">
        <v>118</v>
      </c>
      <c r="V211" t="s">
        <v>206</v>
      </c>
      <c r="Y211" t="s">
        <v>55</v>
      </c>
      <c r="Z211" t="s">
        <v>56</v>
      </c>
      <c r="AA211" t="s">
        <v>57</v>
      </c>
      <c r="AB211" t="s">
        <v>58</v>
      </c>
      <c r="AC211">
        <v>22</v>
      </c>
      <c r="AD211" t="s">
        <v>59</v>
      </c>
      <c r="AE211" t="s">
        <v>197</v>
      </c>
      <c r="AF211">
        <v>4.25</v>
      </c>
      <c r="AG211">
        <v>3</v>
      </c>
      <c r="AH211">
        <v>0</v>
      </c>
      <c r="AI211" t="s">
        <v>335</v>
      </c>
      <c r="AJ211">
        <v>4</v>
      </c>
      <c r="AK211">
        <v>6</v>
      </c>
    </row>
    <row r="212" spans="1:37">
      <c r="A212" t="s">
        <v>809</v>
      </c>
      <c r="B212">
        <v>10041</v>
      </c>
      <c r="C212">
        <v>0</v>
      </c>
      <c r="D212">
        <v>0</v>
      </c>
      <c r="E212">
        <v>1</v>
      </c>
      <c r="F212">
        <v>1</v>
      </c>
      <c r="G212">
        <v>6</v>
      </c>
      <c r="H212">
        <v>3</v>
      </c>
      <c r="I212">
        <v>0</v>
      </c>
      <c r="J212">
        <v>68829</v>
      </c>
      <c r="K212">
        <v>0</v>
      </c>
      <c r="L212">
        <v>3</v>
      </c>
      <c r="M212" t="s">
        <v>242</v>
      </c>
      <c r="N212" t="s">
        <v>810</v>
      </c>
      <c r="O212">
        <v>27229</v>
      </c>
      <c r="P212" t="s">
        <v>811</v>
      </c>
      <c r="Q212" t="s">
        <v>49</v>
      </c>
      <c r="R212" t="s">
        <v>50</v>
      </c>
      <c r="S212" t="s">
        <v>51</v>
      </c>
      <c r="T212" t="s">
        <v>52</v>
      </c>
      <c r="U212" t="s">
        <v>53</v>
      </c>
      <c r="V212" t="s">
        <v>126</v>
      </c>
      <c r="Y212" t="s">
        <v>55</v>
      </c>
      <c r="Z212" t="s">
        <v>56</v>
      </c>
      <c r="AA212" t="s">
        <v>247</v>
      </c>
      <c r="AB212" t="s">
        <v>248</v>
      </c>
      <c r="AC212">
        <v>17</v>
      </c>
      <c r="AD212" t="s">
        <v>393</v>
      </c>
      <c r="AE212" t="s">
        <v>73</v>
      </c>
      <c r="AF212">
        <v>5</v>
      </c>
      <c r="AG212">
        <v>5</v>
      </c>
      <c r="AH212">
        <v>0</v>
      </c>
      <c r="AI212" t="s">
        <v>168</v>
      </c>
      <c r="AJ212">
        <v>0</v>
      </c>
      <c r="AK212">
        <v>18</v>
      </c>
    </row>
    <row r="213" spans="1:37">
      <c r="A213" t="s">
        <v>812</v>
      </c>
      <c r="B213">
        <v>10148</v>
      </c>
      <c r="C213">
        <v>1</v>
      </c>
      <c r="D213">
        <v>1</v>
      </c>
      <c r="E213">
        <v>0</v>
      </c>
      <c r="F213">
        <v>5</v>
      </c>
      <c r="G213">
        <v>5</v>
      </c>
      <c r="H213">
        <v>3</v>
      </c>
      <c r="I213">
        <v>0</v>
      </c>
      <c r="J213">
        <v>63515</v>
      </c>
      <c r="K213">
        <v>1</v>
      </c>
      <c r="L213">
        <v>19</v>
      </c>
      <c r="M213" t="s">
        <v>46</v>
      </c>
      <c r="N213" t="s">
        <v>47</v>
      </c>
      <c r="O213">
        <v>2351</v>
      </c>
      <c r="P213" t="s">
        <v>813</v>
      </c>
      <c r="Q213" t="s">
        <v>78</v>
      </c>
      <c r="R213" t="s">
        <v>65</v>
      </c>
      <c r="S213" t="s">
        <v>51</v>
      </c>
      <c r="T213" t="s">
        <v>52</v>
      </c>
      <c r="U213" t="s">
        <v>53</v>
      </c>
      <c r="V213" t="s">
        <v>814</v>
      </c>
      <c r="X213" t="s">
        <v>815</v>
      </c>
      <c r="Y213" t="s">
        <v>134</v>
      </c>
      <c r="Z213" t="s">
        <v>69</v>
      </c>
      <c r="AA213" t="s">
        <v>57</v>
      </c>
      <c r="AB213" t="s">
        <v>86</v>
      </c>
      <c r="AC213">
        <v>16</v>
      </c>
      <c r="AD213" t="s">
        <v>95</v>
      </c>
      <c r="AE213" t="s">
        <v>73</v>
      </c>
      <c r="AF213">
        <v>3.89</v>
      </c>
      <c r="AG213">
        <v>4</v>
      </c>
      <c r="AH213">
        <v>0</v>
      </c>
      <c r="AI213" t="s">
        <v>226</v>
      </c>
      <c r="AJ213">
        <v>0</v>
      </c>
      <c r="AK213">
        <v>7</v>
      </c>
    </row>
    <row r="214" spans="1:37">
      <c r="A214" t="s">
        <v>816</v>
      </c>
      <c r="B214">
        <v>10005</v>
      </c>
      <c r="C214">
        <v>0</v>
      </c>
      <c r="D214">
        <v>0</v>
      </c>
      <c r="E214">
        <v>1</v>
      </c>
      <c r="F214">
        <v>5</v>
      </c>
      <c r="G214">
        <v>4</v>
      </c>
      <c r="H214">
        <v>4</v>
      </c>
      <c r="I214">
        <v>1</v>
      </c>
      <c r="J214">
        <v>108987</v>
      </c>
      <c r="K214">
        <v>1</v>
      </c>
      <c r="L214">
        <v>24</v>
      </c>
      <c r="M214" t="s">
        <v>103</v>
      </c>
      <c r="N214" t="s">
        <v>47</v>
      </c>
      <c r="O214">
        <v>1844</v>
      </c>
      <c r="P214" t="s">
        <v>817</v>
      </c>
      <c r="Q214" t="s">
        <v>49</v>
      </c>
      <c r="R214" t="s">
        <v>50</v>
      </c>
      <c r="S214" t="s">
        <v>51</v>
      </c>
      <c r="T214" t="s">
        <v>52</v>
      </c>
      <c r="U214" t="s">
        <v>118</v>
      </c>
      <c r="V214" t="s">
        <v>360</v>
      </c>
      <c r="X214" t="s">
        <v>818</v>
      </c>
      <c r="Y214" t="s">
        <v>134</v>
      </c>
      <c r="Z214" t="s">
        <v>69</v>
      </c>
      <c r="AA214" t="s">
        <v>106</v>
      </c>
      <c r="AB214" t="s">
        <v>107</v>
      </c>
      <c r="AC214">
        <v>10</v>
      </c>
      <c r="AD214" t="s">
        <v>121</v>
      </c>
      <c r="AE214" t="s">
        <v>60</v>
      </c>
      <c r="AF214">
        <v>5</v>
      </c>
      <c r="AG214">
        <v>5</v>
      </c>
      <c r="AH214">
        <v>3</v>
      </c>
      <c r="AI214" t="s">
        <v>819</v>
      </c>
      <c r="AJ214">
        <v>0</v>
      </c>
      <c r="AK214">
        <v>13</v>
      </c>
    </row>
    <row r="215" spans="1:37">
      <c r="A215" t="s">
        <v>820</v>
      </c>
      <c r="B215">
        <v>10259</v>
      </c>
      <c r="C215">
        <v>1</v>
      </c>
      <c r="D215">
        <v>1</v>
      </c>
      <c r="E215">
        <v>1</v>
      </c>
      <c r="F215">
        <v>5</v>
      </c>
      <c r="G215">
        <v>3</v>
      </c>
      <c r="H215">
        <v>3</v>
      </c>
      <c r="I215">
        <v>0</v>
      </c>
      <c r="J215">
        <v>93093</v>
      </c>
      <c r="K215">
        <v>1</v>
      </c>
      <c r="L215">
        <v>9</v>
      </c>
      <c r="M215" t="s">
        <v>144</v>
      </c>
      <c r="N215" t="s">
        <v>47</v>
      </c>
      <c r="O215">
        <v>2747</v>
      </c>
      <c r="P215" t="s">
        <v>821</v>
      </c>
      <c r="Q215" t="s">
        <v>49</v>
      </c>
      <c r="R215" t="s">
        <v>65</v>
      </c>
      <c r="S215" t="s">
        <v>51</v>
      </c>
      <c r="T215" t="s">
        <v>52</v>
      </c>
      <c r="U215" t="s">
        <v>53</v>
      </c>
      <c r="V215" t="s">
        <v>822</v>
      </c>
      <c r="X215" t="s">
        <v>327</v>
      </c>
      <c r="Y215" t="s">
        <v>178</v>
      </c>
      <c r="Z215" t="s">
        <v>69</v>
      </c>
      <c r="AA215" t="s">
        <v>70</v>
      </c>
      <c r="AB215" t="s">
        <v>71</v>
      </c>
      <c r="AC215">
        <v>4</v>
      </c>
      <c r="AD215" t="s">
        <v>114</v>
      </c>
      <c r="AE215" t="s">
        <v>73</v>
      </c>
      <c r="AF215">
        <v>4.7</v>
      </c>
      <c r="AG215">
        <v>4</v>
      </c>
      <c r="AH215">
        <v>5</v>
      </c>
      <c r="AI215" t="s">
        <v>823</v>
      </c>
      <c r="AJ215">
        <v>0</v>
      </c>
      <c r="AK215">
        <v>19</v>
      </c>
    </row>
    <row r="216" spans="1:37">
      <c r="A216" t="s">
        <v>824</v>
      </c>
      <c r="B216">
        <v>10286</v>
      </c>
      <c r="C216">
        <v>0</v>
      </c>
      <c r="D216">
        <v>0</v>
      </c>
      <c r="E216">
        <v>1</v>
      </c>
      <c r="F216">
        <v>5</v>
      </c>
      <c r="G216">
        <v>5</v>
      </c>
      <c r="H216">
        <v>2</v>
      </c>
      <c r="I216">
        <v>0</v>
      </c>
      <c r="J216">
        <v>53564</v>
      </c>
      <c r="K216">
        <v>1</v>
      </c>
      <c r="L216">
        <v>19</v>
      </c>
      <c r="M216" t="s">
        <v>46</v>
      </c>
      <c r="N216" t="s">
        <v>47</v>
      </c>
      <c r="O216">
        <v>2458</v>
      </c>
      <c r="P216" t="s">
        <v>825</v>
      </c>
      <c r="Q216" t="s">
        <v>49</v>
      </c>
      <c r="R216" t="s">
        <v>50</v>
      </c>
      <c r="S216" t="s">
        <v>51</v>
      </c>
      <c r="T216" t="s">
        <v>52</v>
      </c>
      <c r="U216" t="s">
        <v>118</v>
      </c>
      <c r="V216" t="s">
        <v>132</v>
      </c>
      <c r="X216" t="s">
        <v>826</v>
      </c>
      <c r="Y216" t="s">
        <v>68</v>
      </c>
      <c r="Z216" t="s">
        <v>69</v>
      </c>
      <c r="AA216" t="s">
        <v>57</v>
      </c>
      <c r="AB216" t="s">
        <v>94</v>
      </c>
      <c r="AC216">
        <v>39</v>
      </c>
      <c r="AD216" t="s">
        <v>95</v>
      </c>
      <c r="AE216" t="s">
        <v>197</v>
      </c>
      <c r="AF216">
        <v>3.54</v>
      </c>
      <c r="AG216">
        <v>5</v>
      </c>
      <c r="AH216">
        <v>0</v>
      </c>
      <c r="AI216" t="s">
        <v>155</v>
      </c>
      <c r="AJ216">
        <v>4</v>
      </c>
      <c r="AK216">
        <v>15</v>
      </c>
    </row>
    <row r="217" spans="1:37">
      <c r="A217" t="s">
        <v>827</v>
      </c>
      <c r="B217">
        <v>10297</v>
      </c>
      <c r="C217">
        <v>1</v>
      </c>
      <c r="D217">
        <v>1</v>
      </c>
      <c r="E217">
        <v>0</v>
      </c>
      <c r="F217">
        <v>5</v>
      </c>
      <c r="G217">
        <v>5</v>
      </c>
      <c r="H217">
        <v>2</v>
      </c>
      <c r="I217">
        <v>0</v>
      </c>
      <c r="J217">
        <v>60270</v>
      </c>
      <c r="K217">
        <v>1</v>
      </c>
      <c r="L217">
        <v>20</v>
      </c>
      <c r="M217" t="s">
        <v>76</v>
      </c>
      <c r="N217" t="s">
        <v>47</v>
      </c>
      <c r="O217">
        <v>2472</v>
      </c>
      <c r="P217" t="s">
        <v>828</v>
      </c>
      <c r="Q217" t="s">
        <v>78</v>
      </c>
      <c r="R217" t="s">
        <v>65</v>
      </c>
      <c r="S217" t="s">
        <v>51</v>
      </c>
      <c r="T217" t="s">
        <v>52</v>
      </c>
      <c r="U217" t="s">
        <v>182</v>
      </c>
      <c r="V217" t="s">
        <v>54</v>
      </c>
      <c r="X217" t="s">
        <v>829</v>
      </c>
      <c r="Y217" t="s">
        <v>141</v>
      </c>
      <c r="Z217" t="s">
        <v>69</v>
      </c>
      <c r="AA217" t="s">
        <v>57</v>
      </c>
      <c r="AB217" t="s">
        <v>100</v>
      </c>
      <c r="AC217">
        <v>11</v>
      </c>
      <c r="AD217" t="s">
        <v>196</v>
      </c>
      <c r="AE217" t="s">
        <v>197</v>
      </c>
      <c r="AF217">
        <v>2.4</v>
      </c>
      <c r="AG217">
        <v>5</v>
      </c>
      <c r="AH217">
        <v>0</v>
      </c>
      <c r="AI217" t="s">
        <v>830</v>
      </c>
      <c r="AJ217">
        <v>5</v>
      </c>
      <c r="AK217">
        <v>2</v>
      </c>
    </row>
    <row r="218" spans="1:37">
      <c r="A218" t="s">
        <v>831</v>
      </c>
      <c r="B218">
        <v>10171</v>
      </c>
      <c r="C218">
        <v>0</v>
      </c>
      <c r="D218">
        <v>0</v>
      </c>
      <c r="E218">
        <v>0</v>
      </c>
      <c r="F218">
        <v>5</v>
      </c>
      <c r="G218">
        <v>5</v>
      </c>
      <c r="H218">
        <v>3</v>
      </c>
      <c r="I218">
        <v>0</v>
      </c>
      <c r="J218">
        <v>45998</v>
      </c>
      <c r="K218">
        <v>1</v>
      </c>
      <c r="L218">
        <v>19</v>
      </c>
      <c r="M218" t="s">
        <v>46</v>
      </c>
      <c r="N218" t="s">
        <v>47</v>
      </c>
      <c r="O218">
        <v>2176</v>
      </c>
      <c r="P218" t="s">
        <v>832</v>
      </c>
      <c r="Q218" t="s">
        <v>78</v>
      </c>
      <c r="R218" t="s">
        <v>50</v>
      </c>
      <c r="S218" t="s">
        <v>51</v>
      </c>
      <c r="T218" t="s">
        <v>52</v>
      </c>
      <c r="U218" t="s">
        <v>53</v>
      </c>
      <c r="V218" t="s">
        <v>310</v>
      </c>
      <c r="X218" t="s">
        <v>833</v>
      </c>
      <c r="Y218" t="s">
        <v>834</v>
      </c>
      <c r="Z218" t="s">
        <v>69</v>
      </c>
      <c r="AA218" t="s">
        <v>57</v>
      </c>
      <c r="AB218" t="s">
        <v>100</v>
      </c>
      <c r="AC218">
        <v>11</v>
      </c>
      <c r="AD218" t="s">
        <v>59</v>
      </c>
      <c r="AE218" t="s">
        <v>73</v>
      </c>
      <c r="AF218">
        <v>3.45</v>
      </c>
      <c r="AG218">
        <v>4</v>
      </c>
      <c r="AH218">
        <v>0</v>
      </c>
      <c r="AI218" t="s">
        <v>835</v>
      </c>
      <c r="AJ218">
        <v>0</v>
      </c>
      <c r="AK218">
        <v>5</v>
      </c>
    </row>
    <row r="219" spans="1:37">
      <c r="A219" t="s">
        <v>836</v>
      </c>
      <c r="B219">
        <v>10032</v>
      </c>
      <c r="C219">
        <v>1</v>
      </c>
      <c r="D219">
        <v>1</v>
      </c>
      <c r="E219">
        <v>0</v>
      </c>
      <c r="F219">
        <v>5</v>
      </c>
      <c r="G219">
        <v>5</v>
      </c>
      <c r="H219">
        <v>4</v>
      </c>
      <c r="I219">
        <v>0</v>
      </c>
      <c r="J219">
        <v>57954</v>
      </c>
      <c r="K219">
        <v>1</v>
      </c>
      <c r="L219">
        <v>20</v>
      </c>
      <c r="M219" t="s">
        <v>76</v>
      </c>
      <c r="N219" t="s">
        <v>47</v>
      </c>
      <c r="O219">
        <v>1886</v>
      </c>
      <c r="P219" t="s">
        <v>837</v>
      </c>
      <c r="Q219" t="s">
        <v>78</v>
      </c>
      <c r="R219" t="s">
        <v>65</v>
      </c>
      <c r="S219" t="s">
        <v>51</v>
      </c>
      <c r="T219" t="s">
        <v>52</v>
      </c>
      <c r="U219" t="s">
        <v>53</v>
      </c>
      <c r="V219" t="s">
        <v>310</v>
      </c>
      <c r="X219" t="s">
        <v>838</v>
      </c>
      <c r="Y219" t="s">
        <v>378</v>
      </c>
      <c r="Z219" t="s">
        <v>69</v>
      </c>
      <c r="AA219" t="s">
        <v>57</v>
      </c>
      <c r="AB219" t="s">
        <v>113</v>
      </c>
      <c r="AC219">
        <v>19</v>
      </c>
      <c r="AD219" t="s">
        <v>72</v>
      </c>
      <c r="AE219" t="s">
        <v>60</v>
      </c>
      <c r="AF219">
        <v>4.2</v>
      </c>
      <c r="AG219">
        <v>5</v>
      </c>
      <c r="AH219">
        <v>0</v>
      </c>
      <c r="AI219" t="s">
        <v>839</v>
      </c>
      <c r="AJ219">
        <v>0</v>
      </c>
      <c r="AK219">
        <v>12</v>
      </c>
    </row>
    <row r="220" spans="1:37">
      <c r="A220" t="s">
        <v>840</v>
      </c>
      <c r="B220">
        <v>10130</v>
      </c>
      <c r="C220">
        <v>1</v>
      </c>
      <c r="D220">
        <v>1</v>
      </c>
      <c r="E220">
        <v>0</v>
      </c>
      <c r="F220">
        <v>5</v>
      </c>
      <c r="G220">
        <v>5</v>
      </c>
      <c r="H220">
        <v>3</v>
      </c>
      <c r="I220">
        <v>0</v>
      </c>
      <c r="J220">
        <v>74669</v>
      </c>
      <c r="K220">
        <v>1</v>
      </c>
      <c r="L220">
        <v>18</v>
      </c>
      <c r="M220" t="s">
        <v>217</v>
      </c>
      <c r="N220" t="s">
        <v>47</v>
      </c>
      <c r="O220">
        <v>2030</v>
      </c>
      <c r="P220" t="s">
        <v>841</v>
      </c>
      <c r="Q220" t="s">
        <v>78</v>
      </c>
      <c r="R220" t="s">
        <v>65</v>
      </c>
      <c r="S220" t="s">
        <v>51</v>
      </c>
      <c r="T220" t="s">
        <v>52</v>
      </c>
      <c r="U220" t="s">
        <v>53</v>
      </c>
      <c r="V220" t="s">
        <v>842</v>
      </c>
      <c r="X220" t="s">
        <v>843</v>
      </c>
      <c r="Y220" t="s">
        <v>134</v>
      </c>
      <c r="Z220" t="s">
        <v>69</v>
      </c>
      <c r="AA220" t="s">
        <v>57</v>
      </c>
      <c r="AB220" t="s">
        <v>221</v>
      </c>
      <c r="AC220">
        <v>2</v>
      </c>
      <c r="AD220" t="s">
        <v>72</v>
      </c>
      <c r="AE220" t="s">
        <v>73</v>
      </c>
      <c r="AF220">
        <v>4.16</v>
      </c>
      <c r="AG220">
        <v>5</v>
      </c>
      <c r="AH220">
        <v>0</v>
      </c>
      <c r="AI220" t="s">
        <v>844</v>
      </c>
      <c r="AJ220">
        <v>0</v>
      </c>
      <c r="AK220">
        <v>6</v>
      </c>
    </row>
    <row r="221" spans="1:37">
      <c r="A221" t="s">
        <v>845</v>
      </c>
      <c r="B221">
        <v>10217</v>
      </c>
      <c r="C221">
        <v>1</v>
      </c>
      <c r="D221">
        <v>1</v>
      </c>
      <c r="E221">
        <v>0</v>
      </c>
      <c r="F221">
        <v>1</v>
      </c>
      <c r="G221">
        <v>5</v>
      </c>
      <c r="H221">
        <v>3</v>
      </c>
      <c r="I221">
        <v>0</v>
      </c>
      <c r="J221">
        <v>74226</v>
      </c>
      <c r="K221">
        <v>0</v>
      </c>
      <c r="L221">
        <v>20</v>
      </c>
      <c r="M221" t="s">
        <v>76</v>
      </c>
      <c r="N221" t="s">
        <v>47</v>
      </c>
      <c r="O221">
        <v>2050</v>
      </c>
      <c r="P221" t="s">
        <v>846</v>
      </c>
      <c r="Q221" t="s">
        <v>78</v>
      </c>
      <c r="R221" t="s">
        <v>65</v>
      </c>
      <c r="S221" t="s">
        <v>171</v>
      </c>
      <c r="T221" t="s">
        <v>52</v>
      </c>
      <c r="U221" t="s">
        <v>182</v>
      </c>
      <c r="V221" t="s">
        <v>139</v>
      </c>
      <c r="Y221" t="s">
        <v>55</v>
      </c>
      <c r="Z221" t="s">
        <v>56</v>
      </c>
      <c r="AA221" t="s">
        <v>57</v>
      </c>
      <c r="AB221" t="s">
        <v>120</v>
      </c>
      <c r="AC221">
        <v>12</v>
      </c>
      <c r="AD221" t="s">
        <v>59</v>
      </c>
      <c r="AE221" t="s">
        <v>73</v>
      </c>
      <c r="AF221">
        <v>4.3</v>
      </c>
      <c r="AG221">
        <v>3</v>
      </c>
      <c r="AH221">
        <v>0</v>
      </c>
      <c r="AI221" t="s">
        <v>168</v>
      </c>
      <c r="AJ221">
        <v>0</v>
      </c>
      <c r="AK221">
        <v>14</v>
      </c>
    </row>
    <row r="222" spans="1:37">
      <c r="A222" t="s">
        <v>847</v>
      </c>
      <c r="B222">
        <v>10016</v>
      </c>
      <c r="C222">
        <v>1</v>
      </c>
      <c r="D222">
        <v>1</v>
      </c>
      <c r="E222">
        <v>0</v>
      </c>
      <c r="F222">
        <v>1</v>
      </c>
      <c r="G222">
        <v>3</v>
      </c>
      <c r="H222">
        <v>4</v>
      </c>
      <c r="I222">
        <v>0</v>
      </c>
      <c r="J222">
        <v>93554</v>
      </c>
      <c r="K222">
        <v>0</v>
      </c>
      <c r="L222">
        <v>9</v>
      </c>
      <c r="M222" t="s">
        <v>144</v>
      </c>
      <c r="N222" t="s">
        <v>47</v>
      </c>
      <c r="O222">
        <v>1886</v>
      </c>
      <c r="P222" t="s">
        <v>848</v>
      </c>
      <c r="Q222" t="s">
        <v>78</v>
      </c>
      <c r="R222" t="s">
        <v>65</v>
      </c>
      <c r="S222" t="s">
        <v>51</v>
      </c>
      <c r="T222" t="s">
        <v>52</v>
      </c>
      <c r="U222" t="s">
        <v>118</v>
      </c>
      <c r="V222" t="s">
        <v>105</v>
      </c>
      <c r="Y222" t="s">
        <v>55</v>
      </c>
      <c r="Z222" t="s">
        <v>56</v>
      </c>
      <c r="AA222" t="s">
        <v>70</v>
      </c>
      <c r="AB222" t="s">
        <v>71</v>
      </c>
      <c r="AC222">
        <v>4</v>
      </c>
      <c r="AD222" t="s">
        <v>114</v>
      </c>
      <c r="AE222" t="s">
        <v>60</v>
      </c>
      <c r="AF222">
        <v>4.5999999999999996</v>
      </c>
      <c r="AG222">
        <v>5</v>
      </c>
      <c r="AH222">
        <v>7</v>
      </c>
      <c r="AI222" t="s">
        <v>406</v>
      </c>
      <c r="AJ222">
        <v>0</v>
      </c>
      <c r="AK222">
        <v>16</v>
      </c>
    </row>
    <row r="223" spans="1:37">
      <c r="A223" t="s">
        <v>849</v>
      </c>
      <c r="B223">
        <v>10050</v>
      </c>
      <c r="C223">
        <v>1</v>
      </c>
      <c r="D223">
        <v>1</v>
      </c>
      <c r="E223">
        <v>1</v>
      </c>
      <c r="F223">
        <v>5</v>
      </c>
      <c r="G223">
        <v>5</v>
      </c>
      <c r="H223">
        <v>3</v>
      </c>
      <c r="I223">
        <v>0</v>
      </c>
      <c r="J223">
        <v>64724</v>
      </c>
      <c r="K223">
        <v>1</v>
      </c>
      <c r="L223">
        <v>19</v>
      </c>
      <c r="M223" t="s">
        <v>46</v>
      </c>
      <c r="N223" t="s">
        <v>47</v>
      </c>
      <c r="O223">
        <v>2451</v>
      </c>
      <c r="P223" t="s">
        <v>850</v>
      </c>
      <c r="Q223" t="s">
        <v>49</v>
      </c>
      <c r="R223" t="s">
        <v>65</v>
      </c>
      <c r="S223" t="s">
        <v>51</v>
      </c>
      <c r="T223" t="s">
        <v>52</v>
      </c>
      <c r="U223" t="s">
        <v>182</v>
      </c>
      <c r="V223" t="s">
        <v>54</v>
      </c>
      <c r="X223" t="s">
        <v>851</v>
      </c>
      <c r="Y223" t="s">
        <v>378</v>
      </c>
      <c r="Z223" t="s">
        <v>69</v>
      </c>
      <c r="AA223" t="s">
        <v>57</v>
      </c>
      <c r="AB223" t="s">
        <v>120</v>
      </c>
      <c r="AC223">
        <v>12</v>
      </c>
      <c r="AD223" t="s">
        <v>95</v>
      </c>
      <c r="AE223" t="s">
        <v>73</v>
      </c>
      <c r="AF223">
        <v>5</v>
      </c>
      <c r="AG223">
        <v>3</v>
      </c>
      <c r="AH223">
        <v>0</v>
      </c>
      <c r="AI223" t="s">
        <v>150</v>
      </c>
      <c r="AJ223">
        <v>0</v>
      </c>
      <c r="AK223">
        <v>13</v>
      </c>
    </row>
    <row r="224" spans="1:37">
      <c r="A224" t="s">
        <v>852</v>
      </c>
      <c r="B224">
        <v>10164</v>
      </c>
      <c r="C224">
        <v>0</v>
      </c>
      <c r="D224">
        <v>0</v>
      </c>
      <c r="E224">
        <v>1</v>
      </c>
      <c r="F224">
        <v>1</v>
      </c>
      <c r="G224">
        <v>5</v>
      </c>
      <c r="H224">
        <v>3</v>
      </c>
      <c r="I224">
        <v>0</v>
      </c>
      <c r="J224">
        <v>47001</v>
      </c>
      <c r="K224">
        <v>0</v>
      </c>
      <c r="L224">
        <v>19</v>
      </c>
      <c r="M224" t="s">
        <v>46</v>
      </c>
      <c r="N224" t="s">
        <v>47</v>
      </c>
      <c r="O224">
        <v>2451</v>
      </c>
      <c r="P224" t="s">
        <v>853</v>
      </c>
      <c r="Q224" t="s">
        <v>49</v>
      </c>
      <c r="R224" t="s">
        <v>50</v>
      </c>
      <c r="S224" t="s">
        <v>51</v>
      </c>
      <c r="T224" t="s">
        <v>52</v>
      </c>
      <c r="U224" t="s">
        <v>53</v>
      </c>
      <c r="V224" t="s">
        <v>854</v>
      </c>
      <c r="Y224" t="s">
        <v>55</v>
      </c>
      <c r="Z224" t="s">
        <v>56</v>
      </c>
      <c r="AA224" t="s">
        <v>57</v>
      </c>
      <c r="AB224" t="s">
        <v>135</v>
      </c>
      <c r="AC224">
        <v>14</v>
      </c>
      <c r="AD224" t="s">
        <v>95</v>
      </c>
      <c r="AE224" t="s">
        <v>73</v>
      </c>
      <c r="AF224">
        <v>3.66</v>
      </c>
      <c r="AG224">
        <v>3</v>
      </c>
      <c r="AH224">
        <v>0</v>
      </c>
      <c r="AI224" t="s">
        <v>115</v>
      </c>
      <c r="AJ224">
        <v>0</v>
      </c>
      <c r="AK224">
        <v>15</v>
      </c>
    </row>
    <row r="225" spans="1:37">
      <c r="A225" t="s">
        <v>855</v>
      </c>
      <c r="B225">
        <v>10124</v>
      </c>
      <c r="C225">
        <v>1</v>
      </c>
      <c r="D225">
        <v>1</v>
      </c>
      <c r="E225">
        <v>0</v>
      </c>
      <c r="F225">
        <v>1</v>
      </c>
      <c r="G225">
        <v>6</v>
      </c>
      <c r="H225">
        <v>3</v>
      </c>
      <c r="I225">
        <v>0</v>
      </c>
      <c r="J225">
        <v>61844</v>
      </c>
      <c r="K225">
        <v>0</v>
      </c>
      <c r="L225">
        <v>3</v>
      </c>
      <c r="M225" t="s">
        <v>242</v>
      </c>
      <c r="N225" t="s">
        <v>856</v>
      </c>
      <c r="O225">
        <v>40220</v>
      </c>
      <c r="P225" t="s">
        <v>857</v>
      </c>
      <c r="Q225" t="s">
        <v>78</v>
      </c>
      <c r="R225" t="s">
        <v>65</v>
      </c>
      <c r="S225" t="s">
        <v>51</v>
      </c>
      <c r="T225" t="s">
        <v>52</v>
      </c>
      <c r="U225" t="s">
        <v>118</v>
      </c>
      <c r="V225" t="s">
        <v>99</v>
      </c>
      <c r="Y225" t="s">
        <v>55</v>
      </c>
      <c r="Z225" t="s">
        <v>56</v>
      </c>
      <c r="AA225" t="s">
        <v>247</v>
      </c>
      <c r="AB225" t="s">
        <v>292</v>
      </c>
      <c r="AC225">
        <v>21</v>
      </c>
      <c r="AD225" t="s">
        <v>393</v>
      </c>
      <c r="AE225" t="s">
        <v>73</v>
      </c>
      <c r="AF225">
        <v>4.2</v>
      </c>
      <c r="AG225">
        <v>5</v>
      </c>
      <c r="AH225">
        <v>0</v>
      </c>
      <c r="AI225" t="s">
        <v>235</v>
      </c>
      <c r="AJ225">
        <v>0</v>
      </c>
      <c r="AK225">
        <v>9</v>
      </c>
    </row>
    <row r="226" spans="1:37">
      <c r="A226" t="s">
        <v>858</v>
      </c>
      <c r="B226">
        <v>10187</v>
      </c>
      <c r="C226">
        <v>0</v>
      </c>
      <c r="D226">
        <v>2</v>
      </c>
      <c r="E226">
        <v>0</v>
      </c>
      <c r="F226">
        <v>5</v>
      </c>
      <c r="G226">
        <v>5</v>
      </c>
      <c r="H226">
        <v>3</v>
      </c>
      <c r="I226">
        <v>0</v>
      </c>
      <c r="J226">
        <v>46799</v>
      </c>
      <c r="K226">
        <v>1</v>
      </c>
      <c r="L226">
        <v>19</v>
      </c>
      <c r="M226" t="s">
        <v>46</v>
      </c>
      <c r="N226" t="s">
        <v>47</v>
      </c>
      <c r="O226">
        <v>1742</v>
      </c>
      <c r="P226" t="s">
        <v>859</v>
      </c>
      <c r="Q226" t="s">
        <v>78</v>
      </c>
      <c r="R226" t="s">
        <v>90</v>
      </c>
      <c r="S226" t="s">
        <v>171</v>
      </c>
      <c r="T226" t="s">
        <v>52</v>
      </c>
      <c r="U226" t="s">
        <v>182</v>
      </c>
      <c r="V226" t="s">
        <v>310</v>
      </c>
      <c r="X226" t="s">
        <v>860</v>
      </c>
      <c r="Y226" t="s">
        <v>134</v>
      </c>
      <c r="Z226" t="s">
        <v>69</v>
      </c>
      <c r="AA226" t="s">
        <v>57</v>
      </c>
      <c r="AB226" t="s">
        <v>81</v>
      </c>
      <c r="AC226">
        <v>20</v>
      </c>
      <c r="AD226" t="s">
        <v>95</v>
      </c>
      <c r="AE226" t="s">
        <v>73</v>
      </c>
      <c r="AF226">
        <v>3.17</v>
      </c>
      <c r="AG226">
        <v>4</v>
      </c>
      <c r="AH226">
        <v>0</v>
      </c>
      <c r="AI226" t="s">
        <v>861</v>
      </c>
      <c r="AJ226">
        <v>0</v>
      </c>
      <c r="AK226">
        <v>14</v>
      </c>
    </row>
    <row r="227" spans="1:37">
      <c r="A227" t="s">
        <v>862</v>
      </c>
      <c r="B227">
        <v>10225</v>
      </c>
      <c r="C227">
        <v>0</v>
      </c>
      <c r="D227">
        <v>0</v>
      </c>
      <c r="E227">
        <v>1</v>
      </c>
      <c r="F227">
        <v>1</v>
      </c>
      <c r="G227">
        <v>5</v>
      </c>
      <c r="H227">
        <v>3</v>
      </c>
      <c r="I227">
        <v>0</v>
      </c>
      <c r="J227">
        <v>59472</v>
      </c>
      <c r="K227">
        <v>0</v>
      </c>
      <c r="L227">
        <v>19</v>
      </c>
      <c r="M227" t="s">
        <v>46</v>
      </c>
      <c r="N227" t="s">
        <v>47</v>
      </c>
      <c r="O227">
        <v>2109</v>
      </c>
      <c r="P227" t="s">
        <v>863</v>
      </c>
      <c r="Q227" t="s">
        <v>49</v>
      </c>
      <c r="R227" t="s">
        <v>50</v>
      </c>
      <c r="S227" t="s">
        <v>51</v>
      </c>
      <c r="T227" t="s">
        <v>52</v>
      </c>
      <c r="U227" t="s">
        <v>53</v>
      </c>
      <c r="V227" t="s">
        <v>616</v>
      </c>
      <c r="Y227" t="s">
        <v>55</v>
      </c>
      <c r="Z227" t="s">
        <v>56</v>
      </c>
      <c r="AA227" t="s">
        <v>57</v>
      </c>
      <c r="AB227" t="s">
        <v>151</v>
      </c>
      <c r="AC227">
        <v>18</v>
      </c>
      <c r="AD227" t="s">
        <v>114</v>
      </c>
      <c r="AE227" t="s">
        <v>73</v>
      </c>
      <c r="AF227">
        <v>4.8</v>
      </c>
      <c r="AG227">
        <v>3</v>
      </c>
      <c r="AH227">
        <v>0</v>
      </c>
      <c r="AI227" t="s">
        <v>101</v>
      </c>
      <c r="AJ227">
        <v>0</v>
      </c>
      <c r="AK227">
        <v>14</v>
      </c>
    </row>
    <row r="228" spans="1:37">
      <c r="A228" t="s">
        <v>864</v>
      </c>
      <c r="B228">
        <v>10262</v>
      </c>
      <c r="C228">
        <v>0</v>
      </c>
      <c r="D228">
        <v>2</v>
      </c>
      <c r="E228">
        <v>0</v>
      </c>
      <c r="F228">
        <v>5</v>
      </c>
      <c r="G228">
        <v>5</v>
      </c>
      <c r="H228">
        <v>3</v>
      </c>
      <c r="I228">
        <v>0</v>
      </c>
      <c r="J228">
        <v>46430</v>
      </c>
      <c r="K228">
        <v>1</v>
      </c>
      <c r="L228">
        <v>19</v>
      </c>
      <c r="M228" t="s">
        <v>46</v>
      </c>
      <c r="N228" t="s">
        <v>47</v>
      </c>
      <c r="O228">
        <v>2474</v>
      </c>
      <c r="P228" t="s">
        <v>865</v>
      </c>
      <c r="Q228" t="s">
        <v>78</v>
      </c>
      <c r="R228" t="s">
        <v>90</v>
      </c>
      <c r="S228" t="s">
        <v>51</v>
      </c>
      <c r="T228" t="s">
        <v>52</v>
      </c>
      <c r="U228" t="s">
        <v>53</v>
      </c>
      <c r="V228" t="s">
        <v>79</v>
      </c>
      <c r="X228" t="s">
        <v>573</v>
      </c>
      <c r="Y228" t="s">
        <v>141</v>
      </c>
      <c r="Z228" t="s">
        <v>69</v>
      </c>
      <c r="AA228" t="s">
        <v>57</v>
      </c>
      <c r="AB228" t="s">
        <v>81</v>
      </c>
      <c r="AC228">
        <v>20</v>
      </c>
      <c r="AD228" t="s">
        <v>72</v>
      </c>
      <c r="AE228" t="s">
        <v>73</v>
      </c>
      <c r="AF228">
        <v>4.5</v>
      </c>
      <c r="AG228">
        <v>5</v>
      </c>
      <c r="AH228">
        <v>0</v>
      </c>
      <c r="AI228" t="s">
        <v>866</v>
      </c>
      <c r="AJ228">
        <v>0</v>
      </c>
      <c r="AK228">
        <v>16</v>
      </c>
    </row>
    <row r="229" spans="1:37">
      <c r="A229" t="s">
        <v>867</v>
      </c>
      <c r="B229">
        <v>10131</v>
      </c>
      <c r="C229">
        <v>1</v>
      </c>
      <c r="D229">
        <v>1</v>
      </c>
      <c r="E229">
        <v>1</v>
      </c>
      <c r="F229">
        <v>5</v>
      </c>
      <c r="G229">
        <v>1</v>
      </c>
      <c r="H229">
        <v>3</v>
      </c>
      <c r="I229">
        <v>1</v>
      </c>
      <c r="J229">
        <v>83363</v>
      </c>
      <c r="K229">
        <v>1</v>
      </c>
      <c r="L229">
        <v>23</v>
      </c>
      <c r="M229" t="s">
        <v>103</v>
      </c>
      <c r="N229" t="s">
        <v>47</v>
      </c>
      <c r="O229">
        <v>2045</v>
      </c>
      <c r="P229" t="s">
        <v>868</v>
      </c>
      <c r="Q229" t="s">
        <v>49</v>
      </c>
      <c r="R229" t="s">
        <v>65</v>
      </c>
      <c r="S229" t="s">
        <v>171</v>
      </c>
      <c r="T229" t="s">
        <v>52</v>
      </c>
      <c r="U229" t="s">
        <v>118</v>
      </c>
      <c r="V229" t="s">
        <v>160</v>
      </c>
      <c r="X229" t="s">
        <v>869</v>
      </c>
      <c r="Y229" t="s">
        <v>68</v>
      </c>
      <c r="Z229" t="s">
        <v>69</v>
      </c>
      <c r="AA229" t="s">
        <v>106</v>
      </c>
      <c r="AB229" t="s">
        <v>221</v>
      </c>
      <c r="AC229">
        <v>2</v>
      </c>
      <c r="AD229" t="s">
        <v>121</v>
      </c>
      <c r="AE229" t="s">
        <v>73</v>
      </c>
      <c r="AF229">
        <v>4.1500000000000004</v>
      </c>
      <c r="AG229">
        <v>4</v>
      </c>
      <c r="AH229">
        <v>0</v>
      </c>
      <c r="AI229" t="s">
        <v>870</v>
      </c>
      <c r="AJ229">
        <v>0</v>
      </c>
      <c r="AK229">
        <v>4</v>
      </c>
    </row>
    <row r="230" spans="1:37">
      <c r="A230" t="s">
        <v>871</v>
      </c>
      <c r="B230">
        <v>10239</v>
      </c>
      <c r="C230">
        <v>1</v>
      </c>
      <c r="D230">
        <v>1</v>
      </c>
      <c r="E230">
        <v>0</v>
      </c>
      <c r="F230">
        <v>1</v>
      </c>
      <c r="G230">
        <v>3</v>
      </c>
      <c r="H230">
        <v>3</v>
      </c>
      <c r="I230">
        <v>0</v>
      </c>
      <c r="J230">
        <v>95920</v>
      </c>
      <c r="K230">
        <v>0</v>
      </c>
      <c r="L230">
        <v>4</v>
      </c>
      <c r="M230" t="s">
        <v>383</v>
      </c>
      <c r="N230" t="s">
        <v>47</v>
      </c>
      <c r="O230">
        <v>2110</v>
      </c>
      <c r="P230" t="s">
        <v>872</v>
      </c>
      <c r="Q230" t="s">
        <v>78</v>
      </c>
      <c r="R230" t="s">
        <v>65</v>
      </c>
      <c r="S230" t="s">
        <v>51</v>
      </c>
      <c r="T230" t="s">
        <v>52</v>
      </c>
      <c r="U230" t="s">
        <v>118</v>
      </c>
      <c r="V230" t="s">
        <v>680</v>
      </c>
      <c r="Y230" t="s">
        <v>55</v>
      </c>
      <c r="Z230" t="s">
        <v>56</v>
      </c>
      <c r="AA230" t="s">
        <v>70</v>
      </c>
      <c r="AB230" t="s">
        <v>386</v>
      </c>
      <c r="AC230">
        <v>13</v>
      </c>
      <c r="AD230" t="s">
        <v>72</v>
      </c>
      <c r="AE230" t="s">
        <v>73</v>
      </c>
      <c r="AF230">
        <v>4.4000000000000004</v>
      </c>
      <c r="AG230">
        <v>4</v>
      </c>
      <c r="AH230">
        <v>6</v>
      </c>
      <c r="AI230" t="s">
        <v>653</v>
      </c>
      <c r="AJ230">
        <v>0</v>
      </c>
      <c r="AK230">
        <v>10</v>
      </c>
    </row>
    <row r="231" spans="1:37">
      <c r="A231" t="s">
        <v>873</v>
      </c>
      <c r="B231">
        <v>10152</v>
      </c>
      <c r="C231">
        <v>0</v>
      </c>
      <c r="D231">
        <v>2</v>
      </c>
      <c r="E231">
        <v>1</v>
      </c>
      <c r="F231">
        <v>5</v>
      </c>
      <c r="G231">
        <v>5</v>
      </c>
      <c r="H231">
        <v>3</v>
      </c>
      <c r="I231">
        <v>0</v>
      </c>
      <c r="J231">
        <v>61729</v>
      </c>
      <c r="K231">
        <v>1</v>
      </c>
      <c r="L231">
        <v>19</v>
      </c>
      <c r="M231" t="s">
        <v>46</v>
      </c>
      <c r="N231" t="s">
        <v>47</v>
      </c>
      <c r="O231">
        <v>2478</v>
      </c>
      <c r="P231" t="s">
        <v>874</v>
      </c>
      <c r="Q231" t="s">
        <v>49</v>
      </c>
      <c r="R231" t="s">
        <v>90</v>
      </c>
      <c r="S231" t="s">
        <v>51</v>
      </c>
      <c r="T231" t="s">
        <v>52</v>
      </c>
      <c r="U231" t="s">
        <v>53</v>
      </c>
      <c r="V231" t="s">
        <v>316</v>
      </c>
      <c r="X231" t="s">
        <v>875</v>
      </c>
      <c r="Y231" t="s">
        <v>378</v>
      </c>
      <c r="Z231" t="s">
        <v>69</v>
      </c>
      <c r="AA231" t="s">
        <v>57</v>
      </c>
      <c r="AB231" t="s">
        <v>58</v>
      </c>
      <c r="AC231">
        <v>22</v>
      </c>
      <c r="AD231" t="s">
        <v>72</v>
      </c>
      <c r="AE231" t="s">
        <v>73</v>
      </c>
      <c r="AF231">
        <v>3.8</v>
      </c>
      <c r="AG231">
        <v>5</v>
      </c>
      <c r="AH231">
        <v>0</v>
      </c>
      <c r="AI231" t="s">
        <v>876</v>
      </c>
      <c r="AJ231">
        <v>0</v>
      </c>
      <c r="AK231">
        <v>19</v>
      </c>
    </row>
    <row r="232" spans="1:37">
      <c r="A232" t="s">
        <v>877</v>
      </c>
      <c r="B232">
        <v>10140</v>
      </c>
      <c r="C232">
        <v>1</v>
      </c>
      <c r="D232">
        <v>1</v>
      </c>
      <c r="E232">
        <v>1</v>
      </c>
      <c r="F232">
        <v>1</v>
      </c>
      <c r="G232">
        <v>6</v>
      </c>
      <c r="H232">
        <v>3</v>
      </c>
      <c r="I232">
        <v>0</v>
      </c>
      <c r="J232">
        <v>61809</v>
      </c>
      <c r="K232">
        <v>0</v>
      </c>
      <c r="L232">
        <v>3</v>
      </c>
      <c r="M232" t="s">
        <v>242</v>
      </c>
      <c r="N232" t="s">
        <v>878</v>
      </c>
      <c r="O232">
        <v>83706</v>
      </c>
      <c r="P232" t="s">
        <v>879</v>
      </c>
      <c r="Q232" t="s">
        <v>49</v>
      </c>
      <c r="R232" t="s">
        <v>65</v>
      </c>
      <c r="S232" t="s">
        <v>51</v>
      </c>
      <c r="T232" t="s">
        <v>52</v>
      </c>
      <c r="U232" t="s">
        <v>53</v>
      </c>
      <c r="V232" t="s">
        <v>285</v>
      </c>
      <c r="Y232" t="s">
        <v>55</v>
      </c>
      <c r="Z232" t="s">
        <v>56</v>
      </c>
      <c r="AA232" t="s">
        <v>247</v>
      </c>
      <c r="AB232" t="s">
        <v>248</v>
      </c>
      <c r="AC232">
        <v>17</v>
      </c>
      <c r="AD232" t="s">
        <v>196</v>
      </c>
      <c r="AE232" t="s">
        <v>73</v>
      </c>
      <c r="AF232">
        <v>3.98</v>
      </c>
      <c r="AG232">
        <v>3</v>
      </c>
      <c r="AH232">
        <v>0</v>
      </c>
      <c r="AI232" t="s">
        <v>343</v>
      </c>
      <c r="AJ232">
        <v>0</v>
      </c>
      <c r="AK232">
        <v>4</v>
      </c>
    </row>
    <row r="233" spans="1:37">
      <c r="A233" t="s">
        <v>880</v>
      </c>
      <c r="B233">
        <v>10058</v>
      </c>
      <c r="C233">
        <v>0</v>
      </c>
      <c r="D233">
        <v>2</v>
      </c>
      <c r="E233">
        <v>1</v>
      </c>
      <c r="F233">
        <v>5</v>
      </c>
      <c r="G233">
        <v>5</v>
      </c>
      <c r="H233">
        <v>3</v>
      </c>
      <c r="I233">
        <v>0</v>
      </c>
      <c r="J233">
        <v>45115</v>
      </c>
      <c r="K233">
        <v>1</v>
      </c>
      <c r="L233">
        <v>19</v>
      </c>
      <c r="M233" t="s">
        <v>46</v>
      </c>
      <c r="N233" t="s">
        <v>47</v>
      </c>
      <c r="O233">
        <v>2176</v>
      </c>
      <c r="P233" t="s">
        <v>881</v>
      </c>
      <c r="Q233" t="s">
        <v>49</v>
      </c>
      <c r="R233" t="s">
        <v>90</v>
      </c>
      <c r="S233" t="s">
        <v>51</v>
      </c>
      <c r="T233" t="s">
        <v>131</v>
      </c>
      <c r="U233" t="s">
        <v>53</v>
      </c>
      <c r="V233" t="s">
        <v>310</v>
      </c>
      <c r="X233" t="s">
        <v>882</v>
      </c>
      <c r="Y233" t="s">
        <v>220</v>
      </c>
      <c r="Z233" t="s">
        <v>69</v>
      </c>
      <c r="AA233" t="s">
        <v>57</v>
      </c>
      <c r="AB233" t="s">
        <v>86</v>
      </c>
      <c r="AC233">
        <v>16</v>
      </c>
      <c r="AD233" t="s">
        <v>59</v>
      </c>
      <c r="AE233" t="s">
        <v>73</v>
      </c>
      <c r="AF233">
        <v>5</v>
      </c>
      <c r="AG233">
        <v>4</v>
      </c>
      <c r="AH233">
        <v>0</v>
      </c>
      <c r="AI233" t="s">
        <v>66</v>
      </c>
      <c r="AJ233">
        <v>0</v>
      </c>
      <c r="AK233">
        <v>11</v>
      </c>
    </row>
    <row r="234" spans="1:37">
      <c r="A234" t="s">
        <v>883</v>
      </c>
      <c r="B234">
        <v>10011</v>
      </c>
      <c r="C234">
        <v>1</v>
      </c>
      <c r="D234">
        <v>1</v>
      </c>
      <c r="E234">
        <v>0</v>
      </c>
      <c r="F234">
        <v>1</v>
      </c>
      <c r="G234">
        <v>5</v>
      </c>
      <c r="H234">
        <v>4</v>
      </c>
      <c r="I234">
        <v>0</v>
      </c>
      <c r="J234">
        <v>46738</v>
      </c>
      <c r="K234">
        <v>0</v>
      </c>
      <c r="L234">
        <v>19</v>
      </c>
      <c r="M234" t="s">
        <v>46</v>
      </c>
      <c r="N234" t="s">
        <v>47</v>
      </c>
      <c r="O234">
        <v>2171</v>
      </c>
      <c r="P234" t="s">
        <v>884</v>
      </c>
      <c r="Q234" t="s">
        <v>78</v>
      </c>
      <c r="R234" t="s">
        <v>65</v>
      </c>
      <c r="S234" t="s">
        <v>51</v>
      </c>
      <c r="T234" t="s">
        <v>52</v>
      </c>
      <c r="U234" t="s">
        <v>182</v>
      </c>
      <c r="V234" t="s">
        <v>557</v>
      </c>
      <c r="Y234" t="s">
        <v>55</v>
      </c>
      <c r="Z234" t="s">
        <v>56</v>
      </c>
      <c r="AA234" t="s">
        <v>57</v>
      </c>
      <c r="AB234" t="s">
        <v>94</v>
      </c>
      <c r="AD234" t="s">
        <v>95</v>
      </c>
      <c r="AE234" t="s">
        <v>60</v>
      </c>
      <c r="AF234">
        <v>4.3600000000000003</v>
      </c>
      <c r="AG234">
        <v>5</v>
      </c>
      <c r="AH234">
        <v>0</v>
      </c>
      <c r="AI234" t="s">
        <v>570</v>
      </c>
      <c r="AJ234">
        <v>0</v>
      </c>
      <c r="AK234">
        <v>16</v>
      </c>
    </row>
    <row r="235" spans="1:37">
      <c r="A235" t="s">
        <v>885</v>
      </c>
      <c r="B235">
        <v>10230</v>
      </c>
      <c r="C235">
        <v>0</v>
      </c>
      <c r="D235">
        <v>2</v>
      </c>
      <c r="E235">
        <v>0</v>
      </c>
      <c r="F235">
        <v>5</v>
      </c>
      <c r="G235">
        <v>5</v>
      </c>
      <c r="H235">
        <v>3</v>
      </c>
      <c r="I235">
        <v>0</v>
      </c>
      <c r="J235">
        <v>64971</v>
      </c>
      <c r="K235">
        <v>1</v>
      </c>
      <c r="L235">
        <v>20</v>
      </c>
      <c r="M235" t="s">
        <v>76</v>
      </c>
      <c r="N235" t="s">
        <v>47</v>
      </c>
      <c r="O235">
        <v>1902</v>
      </c>
      <c r="P235" t="s">
        <v>886</v>
      </c>
      <c r="Q235" t="s">
        <v>78</v>
      </c>
      <c r="R235" t="s">
        <v>90</v>
      </c>
      <c r="S235" t="s">
        <v>171</v>
      </c>
      <c r="T235" t="s">
        <v>52</v>
      </c>
      <c r="U235" t="s">
        <v>118</v>
      </c>
      <c r="V235" t="s">
        <v>316</v>
      </c>
      <c r="X235" t="s">
        <v>887</v>
      </c>
      <c r="Y235" t="s">
        <v>93</v>
      </c>
      <c r="Z235" t="s">
        <v>69</v>
      </c>
      <c r="AA235" t="s">
        <v>57</v>
      </c>
      <c r="AB235" t="s">
        <v>135</v>
      </c>
      <c r="AC235">
        <v>14</v>
      </c>
      <c r="AD235" t="s">
        <v>95</v>
      </c>
      <c r="AE235" t="s">
        <v>73</v>
      </c>
      <c r="AF235">
        <v>4.5</v>
      </c>
      <c r="AG235">
        <v>4</v>
      </c>
      <c r="AH235">
        <v>0</v>
      </c>
      <c r="AI235" t="s">
        <v>887</v>
      </c>
      <c r="AJ235">
        <v>0</v>
      </c>
      <c r="AK235">
        <v>10</v>
      </c>
    </row>
    <row r="236" spans="1:37">
      <c r="A236" t="s">
        <v>888</v>
      </c>
      <c r="B236">
        <v>10224</v>
      </c>
      <c r="C236">
        <v>1</v>
      </c>
      <c r="D236">
        <v>1</v>
      </c>
      <c r="E236">
        <v>1</v>
      </c>
      <c r="F236">
        <v>5</v>
      </c>
      <c r="G236">
        <v>5</v>
      </c>
      <c r="H236">
        <v>3</v>
      </c>
      <c r="I236">
        <v>0</v>
      </c>
      <c r="J236">
        <v>55578</v>
      </c>
      <c r="K236">
        <v>1</v>
      </c>
      <c r="L236">
        <v>20</v>
      </c>
      <c r="M236" t="s">
        <v>76</v>
      </c>
      <c r="N236" t="s">
        <v>47</v>
      </c>
      <c r="O236">
        <v>2138</v>
      </c>
      <c r="P236" t="s">
        <v>889</v>
      </c>
      <c r="Q236" t="s">
        <v>49</v>
      </c>
      <c r="R236" t="s">
        <v>65</v>
      </c>
      <c r="S236" t="s">
        <v>51</v>
      </c>
      <c r="T236" t="s">
        <v>52</v>
      </c>
      <c r="U236" t="s">
        <v>53</v>
      </c>
      <c r="V236" t="s">
        <v>54</v>
      </c>
      <c r="X236" t="s">
        <v>890</v>
      </c>
      <c r="Y236" t="s">
        <v>134</v>
      </c>
      <c r="Z236" t="s">
        <v>69</v>
      </c>
      <c r="AA236" t="s">
        <v>57</v>
      </c>
      <c r="AB236" t="s">
        <v>81</v>
      </c>
      <c r="AC236">
        <v>20</v>
      </c>
      <c r="AD236" t="s">
        <v>72</v>
      </c>
      <c r="AE236" t="s">
        <v>73</v>
      </c>
      <c r="AF236">
        <v>4.2</v>
      </c>
      <c r="AG236">
        <v>5</v>
      </c>
      <c r="AH236">
        <v>0</v>
      </c>
      <c r="AI236" t="s">
        <v>891</v>
      </c>
      <c r="AJ236">
        <v>0</v>
      </c>
      <c r="AK236">
        <v>13</v>
      </c>
    </row>
    <row r="237" spans="1:37">
      <c r="A237" t="s">
        <v>892</v>
      </c>
      <c r="B237">
        <v>10047</v>
      </c>
      <c r="C237">
        <v>1</v>
      </c>
      <c r="D237">
        <v>1</v>
      </c>
      <c r="E237">
        <v>1</v>
      </c>
      <c r="F237">
        <v>5</v>
      </c>
      <c r="G237">
        <v>5</v>
      </c>
      <c r="H237">
        <v>3</v>
      </c>
      <c r="I237">
        <v>0</v>
      </c>
      <c r="J237">
        <v>50428</v>
      </c>
      <c r="K237">
        <v>1</v>
      </c>
      <c r="L237">
        <v>19</v>
      </c>
      <c r="M237" t="s">
        <v>46</v>
      </c>
      <c r="N237" t="s">
        <v>47</v>
      </c>
      <c r="O237">
        <v>1420</v>
      </c>
      <c r="P237" t="s">
        <v>893</v>
      </c>
      <c r="Q237" t="s">
        <v>49</v>
      </c>
      <c r="R237" t="s">
        <v>65</v>
      </c>
      <c r="S237" t="s">
        <v>51</v>
      </c>
      <c r="T237" t="s">
        <v>52</v>
      </c>
      <c r="U237" t="s">
        <v>118</v>
      </c>
      <c r="V237" t="s">
        <v>132</v>
      </c>
      <c r="X237" t="s">
        <v>894</v>
      </c>
      <c r="Y237" t="s">
        <v>162</v>
      </c>
      <c r="Z237" t="s">
        <v>69</v>
      </c>
      <c r="AA237" t="s">
        <v>57</v>
      </c>
      <c r="AB237" t="s">
        <v>100</v>
      </c>
      <c r="AC237">
        <v>11</v>
      </c>
      <c r="AD237" t="s">
        <v>72</v>
      </c>
      <c r="AE237" t="s">
        <v>73</v>
      </c>
      <c r="AF237">
        <v>5</v>
      </c>
      <c r="AG237">
        <v>3</v>
      </c>
      <c r="AH237">
        <v>0</v>
      </c>
      <c r="AI237" t="s">
        <v>895</v>
      </c>
      <c r="AJ237">
        <v>0</v>
      </c>
      <c r="AK237">
        <v>11</v>
      </c>
    </row>
    <row r="238" spans="1:37">
      <c r="A238" t="s">
        <v>896</v>
      </c>
      <c r="B238">
        <v>10285</v>
      </c>
      <c r="C238">
        <v>1</v>
      </c>
      <c r="D238">
        <v>1</v>
      </c>
      <c r="E238">
        <v>0</v>
      </c>
      <c r="F238">
        <v>4</v>
      </c>
      <c r="G238">
        <v>5</v>
      </c>
      <c r="H238">
        <v>2</v>
      </c>
      <c r="I238">
        <v>0</v>
      </c>
      <c r="J238">
        <v>61422</v>
      </c>
      <c r="K238">
        <v>1</v>
      </c>
      <c r="L238">
        <v>19</v>
      </c>
      <c r="M238" t="s">
        <v>46</v>
      </c>
      <c r="N238" t="s">
        <v>47</v>
      </c>
      <c r="O238">
        <v>1460</v>
      </c>
      <c r="P238" t="s">
        <v>897</v>
      </c>
      <c r="Q238" t="s">
        <v>78</v>
      </c>
      <c r="R238" t="s">
        <v>65</v>
      </c>
      <c r="S238" t="s">
        <v>51</v>
      </c>
      <c r="T238" t="s">
        <v>52</v>
      </c>
      <c r="U238" t="s">
        <v>53</v>
      </c>
      <c r="V238" t="s">
        <v>132</v>
      </c>
      <c r="X238" t="s">
        <v>449</v>
      </c>
      <c r="Y238" t="s">
        <v>162</v>
      </c>
      <c r="Z238" t="s">
        <v>163</v>
      </c>
      <c r="AA238" t="s">
        <v>57</v>
      </c>
      <c r="AB238" t="s">
        <v>113</v>
      </c>
      <c r="AC238">
        <v>19</v>
      </c>
      <c r="AD238" t="s">
        <v>72</v>
      </c>
      <c r="AE238" t="s">
        <v>197</v>
      </c>
      <c r="AF238">
        <v>3.6</v>
      </c>
      <c r="AG238">
        <v>3</v>
      </c>
      <c r="AH238">
        <v>0</v>
      </c>
      <c r="AI238" t="s">
        <v>898</v>
      </c>
      <c r="AJ238">
        <v>4</v>
      </c>
      <c r="AK238">
        <v>16</v>
      </c>
    </row>
    <row r="239" spans="1:37">
      <c r="A239" t="s">
        <v>899</v>
      </c>
      <c r="B239">
        <v>10020</v>
      </c>
      <c r="C239">
        <v>0</v>
      </c>
      <c r="D239">
        <v>4</v>
      </c>
      <c r="E239">
        <v>1</v>
      </c>
      <c r="F239">
        <v>1</v>
      </c>
      <c r="G239">
        <v>5</v>
      </c>
      <c r="H239">
        <v>4</v>
      </c>
      <c r="I239">
        <v>0</v>
      </c>
      <c r="J239">
        <v>63353</v>
      </c>
      <c r="K239">
        <v>0</v>
      </c>
      <c r="L239">
        <v>19</v>
      </c>
      <c r="M239" t="s">
        <v>46</v>
      </c>
      <c r="N239" t="s">
        <v>47</v>
      </c>
      <c r="O239">
        <v>1730</v>
      </c>
      <c r="P239" t="s">
        <v>900</v>
      </c>
      <c r="Q239" t="s">
        <v>49</v>
      </c>
      <c r="R239" t="s">
        <v>111</v>
      </c>
      <c r="S239" t="s">
        <v>51</v>
      </c>
      <c r="T239" t="s">
        <v>52</v>
      </c>
      <c r="U239" t="s">
        <v>53</v>
      </c>
      <c r="V239" t="s">
        <v>183</v>
      </c>
      <c r="Y239" t="s">
        <v>55</v>
      </c>
      <c r="Z239" t="s">
        <v>56</v>
      </c>
      <c r="AA239" t="s">
        <v>57</v>
      </c>
      <c r="AB239" t="s">
        <v>120</v>
      </c>
      <c r="AC239">
        <v>12</v>
      </c>
      <c r="AD239" t="s">
        <v>114</v>
      </c>
      <c r="AE239" t="s">
        <v>60</v>
      </c>
      <c r="AF239">
        <v>3.6</v>
      </c>
      <c r="AG239">
        <v>5</v>
      </c>
      <c r="AH239">
        <v>0</v>
      </c>
      <c r="AI239" t="s">
        <v>570</v>
      </c>
      <c r="AJ239">
        <v>0</v>
      </c>
      <c r="AK239">
        <v>4</v>
      </c>
    </row>
    <row r="240" spans="1:37">
      <c r="A240" t="s">
        <v>901</v>
      </c>
      <c r="B240">
        <v>10162</v>
      </c>
      <c r="C240">
        <v>1</v>
      </c>
      <c r="D240">
        <v>1</v>
      </c>
      <c r="E240">
        <v>0</v>
      </c>
      <c r="F240">
        <v>1</v>
      </c>
      <c r="G240">
        <v>3</v>
      </c>
      <c r="H240">
        <v>3</v>
      </c>
      <c r="I240">
        <v>0</v>
      </c>
      <c r="J240">
        <v>89883</v>
      </c>
      <c r="K240">
        <v>0</v>
      </c>
      <c r="L240">
        <v>9</v>
      </c>
      <c r="M240" t="s">
        <v>144</v>
      </c>
      <c r="N240" t="s">
        <v>47</v>
      </c>
      <c r="O240">
        <v>1886</v>
      </c>
      <c r="P240" t="s">
        <v>902</v>
      </c>
      <c r="Q240" t="s">
        <v>78</v>
      </c>
      <c r="R240" t="s">
        <v>65</v>
      </c>
      <c r="S240" t="s">
        <v>51</v>
      </c>
      <c r="T240" t="s">
        <v>52</v>
      </c>
      <c r="U240" t="s">
        <v>53</v>
      </c>
      <c r="V240" t="s">
        <v>213</v>
      </c>
      <c r="Y240" t="s">
        <v>55</v>
      </c>
      <c r="Z240" t="s">
        <v>56</v>
      </c>
      <c r="AA240" t="s">
        <v>70</v>
      </c>
      <c r="AB240" t="s">
        <v>71</v>
      </c>
      <c r="AC240">
        <v>4</v>
      </c>
      <c r="AD240" t="s">
        <v>114</v>
      </c>
      <c r="AE240" t="s">
        <v>73</v>
      </c>
      <c r="AF240">
        <v>3.69</v>
      </c>
      <c r="AG240">
        <v>5</v>
      </c>
      <c r="AH240">
        <v>6</v>
      </c>
      <c r="AI240" t="s">
        <v>152</v>
      </c>
      <c r="AJ240">
        <v>0</v>
      </c>
      <c r="AK240">
        <v>15</v>
      </c>
    </row>
    <row r="241" spans="1:37">
      <c r="A241" t="s">
        <v>903</v>
      </c>
      <c r="B241">
        <v>10149</v>
      </c>
      <c r="C241">
        <v>0</v>
      </c>
      <c r="D241">
        <v>0</v>
      </c>
      <c r="E241">
        <v>0</v>
      </c>
      <c r="F241">
        <v>5</v>
      </c>
      <c r="G241">
        <v>3</v>
      </c>
      <c r="H241">
        <v>3</v>
      </c>
      <c r="I241">
        <v>0</v>
      </c>
      <c r="J241">
        <v>120000</v>
      </c>
      <c r="K241">
        <v>1</v>
      </c>
      <c r="L241">
        <v>29</v>
      </c>
      <c r="M241" t="s">
        <v>904</v>
      </c>
      <c r="N241" t="s">
        <v>47</v>
      </c>
      <c r="O241">
        <v>2703</v>
      </c>
      <c r="P241" t="s">
        <v>905</v>
      </c>
      <c r="Q241" t="s">
        <v>78</v>
      </c>
      <c r="R241" t="s">
        <v>50</v>
      </c>
      <c r="S241" t="s">
        <v>51</v>
      </c>
      <c r="T241" t="s">
        <v>131</v>
      </c>
      <c r="U241" t="s">
        <v>53</v>
      </c>
      <c r="V241" t="s">
        <v>126</v>
      </c>
      <c r="X241" t="s">
        <v>906</v>
      </c>
      <c r="Y241" t="s">
        <v>134</v>
      </c>
      <c r="Z241" t="s">
        <v>69</v>
      </c>
      <c r="AA241" t="s">
        <v>70</v>
      </c>
      <c r="AB241" t="s">
        <v>71</v>
      </c>
      <c r="AC241">
        <v>4</v>
      </c>
      <c r="AD241" t="s">
        <v>59</v>
      </c>
      <c r="AE241" t="s">
        <v>73</v>
      </c>
      <c r="AF241">
        <v>3.88</v>
      </c>
      <c r="AG241">
        <v>3</v>
      </c>
      <c r="AH241">
        <v>7</v>
      </c>
      <c r="AI241" t="s">
        <v>907</v>
      </c>
      <c r="AJ241">
        <v>0</v>
      </c>
      <c r="AK241">
        <v>12</v>
      </c>
    </row>
    <row r="242" spans="1:37">
      <c r="A242" t="s">
        <v>908</v>
      </c>
      <c r="B242">
        <v>10086</v>
      </c>
      <c r="C242">
        <v>0</v>
      </c>
      <c r="D242">
        <v>0</v>
      </c>
      <c r="E242">
        <v>0</v>
      </c>
      <c r="F242">
        <v>1</v>
      </c>
      <c r="G242">
        <v>3</v>
      </c>
      <c r="H242">
        <v>3</v>
      </c>
      <c r="I242">
        <v>0</v>
      </c>
      <c r="J242">
        <v>150290</v>
      </c>
      <c r="K242">
        <v>0</v>
      </c>
      <c r="L242">
        <v>7</v>
      </c>
      <c r="M242" t="s">
        <v>909</v>
      </c>
      <c r="N242" t="s">
        <v>47</v>
      </c>
      <c r="O242">
        <v>2056</v>
      </c>
      <c r="P242" t="s">
        <v>910</v>
      </c>
      <c r="Q242" t="s">
        <v>78</v>
      </c>
      <c r="R242" t="s">
        <v>50</v>
      </c>
      <c r="S242" t="s">
        <v>51</v>
      </c>
      <c r="T242" t="s">
        <v>52</v>
      </c>
      <c r="U242" t="s">
        <v>118</v>
      </c>
      <c r="V242" t="s">
        <v>911</v>
      </c>
      <c r="Y242" t="s">
        <v>55</v>
      </c>
      <c r="Z242" t="s">
        <v>56</v>
      </c>
      <c r="AA242" t="s">
        <v>70</v>
      </c>
      <c r="AB242" t="s">
        <v>386</v>
      </c>
      <c r="AC242">
        <v>13</v>
      </c>
      <c r="AD242" t="s">
        <v>72</v>
      </c>
      <c r="AE242" t="s">
        <v>73</v>
      </c>
      <c r="AF242">
        <v>4.9400000000000004</v>
      </c>
      <c r="AG242">
        <v>3</v>
      </c>
      <c r="AH242">
        <v>5</v>
      </c>
      <c r="AI242" t="s">
        <v>653</v>
      </c>
      <c r="AJ242">
        <v>0</v>
      </c>
      <c r="AK242">
        <v>17</v>
      </c>
    </row>
    <row r="243" spans="1:37">
      <c r="A243" t="s">
        <v>912</v>
      </c>
      <c r="B243">
        <v>10054</v>
      </c>
      <c r="C243">
        <v>0</v>
      </c>
      <c r="D243">
        <v>3</v>
      </c>
      <c r="E243">
        <v>0</v>
      </c>
      <c r="F243">
        <v>1</v>
      </c>
      <c r="G243">
        <v>5</v>
      </c>
      <c r="H243">
        <v>3</v>
      </c>
      <c r="I243">
        <v>0</v>
      </c>
      <c r="J243">
        <v>60627</v>
      </c>
      <c r="K243">
        <v>0</v>
      </c>
      <c r="L243">
        <v>19</v>
      </c>
      <c r="M243" t="s">
        <v>46</v>
      </c>
      <c r="N243" t="s">
        <v>47</v>
      </c>
      <c r="O243">
        <v>1886</v>
      </c>
      <c r="P243" t="s">
        <v>913</v>
      </c>
      <c r="Q243" t="s">
        <v>78</v>
      </c>
      <c r="R243" t="s">
        <v>238</v>
      </c>
      <c r="S243" t="s">
        <v>51</v>
      </c>
      <c r="T243" t="s">
        <v>52</v>
      </c>
      <c r="U243" t="s">
        <v>53</v>
      </c>
      <c r="V243" t="s">
        <v>616</v>
      </c>
      <c r="Y243" t="s">
        <v>55</v>
      </c>
      <c r="Z243" t="s">
        <v>56</v>
      </c>
      <c r="AA243" t="s">
        <v>57</v>
      </c>
      <c r="AB243" t="s">
        <v>135</v>
      </c>
      <c r="AC243">
        <v>14</v>
      </c>
      <c r="AD243" t="s">
        <v>393</v>
      </c>
      <c r="AE243" t="s">
        <v>73</v>
      </c>
      <c r="AF243">
        <v>5</v>
      </c>
      <c r="AG243">
        <v>4</v>
      </c>
      <c r="AH243">
        <v>0</v>
      </c>
      <c r="AI243" t="s">
        <v>364</v>
      </c>
      <c r="AJ243">
        <v>0</v>
      </c>
      <c r="AK243">
        <v>8</v>
      </c>
    </row>
    <row r="244" spans="1:37">
      <c r="A244" t="s">
        <v>914</v>
      </c>
      <c r="B244">
        <v>10065</v>
      </c>
      <c r="C244">
        <v>0</v>
      </c>
      <c r="D244">
        <v>0</v>
      </c>
      <c r="E244">
        <v>1</v>
      </c>
      <c r="F244">
        <v>5</v>
      </c>
      <c r="G244">
        <v>5</v>
      </c>
      <c r="H244">
        <v>3</v>
      </c>
      <c r="I244">
        <v>0</v>
      </c>
      <c r="J244">
        <v>53180</v>
      </c>
      <c r="K244">
        <v>1</v>
      </c>
      <c r="L244">
        <v>19</v>
      </c>
      <c r="M244" t="s">
        <v>46</v>
      </c>
      <c r="N244" t="s">
        <v>47</v>
      </c>
      <c r="O244">
        <v>2155</v>
      </c>
      <c r="P244" t="s">
        <v>915</v>
      </c>
      <c r="Q244" t="s">
        <v>49</v>
      </c>
      <c r="R244" t="s">
        <v>50</v>
      </c>
      <c r="S244" t="s">
        <v>51</v>
      </c>
      <c r="T244" t="s">
        <v>52</v>
      </c>
      <c r="U244" t="s">
        <v>53</v>
      </c>
      <c r="V244" t="s">
        <v>172</v>
      </c>
      <c r="X244" t="s">
        <v>916</v>
      </c>
      <c r="Y244" t="s">
        <v>134</v>
      </c>
      <c r="Z244" t="s">
        <v>69</v>
      </c>
      <c r="AA244" t="s">
        <v>57</v>
      </c>
      <c r="AB244" t="s">
        <v>81</v>
      </c>
      <c r="AC244">
        <v>20</v>
      </c>
      <c r="AD244" t="s">
        <v>95</v>
      </c>
      <c r="AE244" t="s">
        <v>73</v>
      </c>
      <c r="AF244">
        <v>5</v>
      </c>
      <c r="AG244">
        <v>5</v>
      </c>
      <c r="AH244">
        <v>0</v>
      </c>
      <c r="AI244" t="s">
        <v>917</v>
      </c>
      <c r="AJ244">
        <v>0</v>
      </c>
      <c r="AK244">
        <v>4</v>
      </c>
    </row>
    <row r="245" spans="1:37">
      <c r="A245" t="s">
        <v>918</v>
      </c>
      <c r="B245">
        <v>10198</v>
      </c>
      <c r="C245">
        <v>0</v>
      </c>
      <c r="D245">
        <v>0</v>
      </c>
      <c r="E245">
        <v>1</v>
      </c>
      <c r="F245">
        <v>1</v>
      </c>
      <c r="G245">
        <v>3</v>
      </c>
      <c r="H245">
        <v>3</v>
      </c>
      <c r="I245">
        <v>0</v>
      </c>
      <c r="J245">
        <v>140920</v>
      </c>
      <c r="K245">
        <v>0</v>
      </c>
      <c r="L245">
        <v>13</v>
      </c>
      <c r="M245" t="s">
        <v>919</v>
      </c>
      <c r="N245" t="s">
        <v>47</v>
      </c>
      <c r="O245">
        <v>2481</v>
      </c>
      <c r="P245" t="s">
        <v>920</v>
      </c>
      <c r="Q245" t="s">
        <v>49</v>
      </c>
      <c r="R245" t="s">
        <v>50</v>
      </c>
      <c r="S245" t="s">
        <v>51</v>
      </c>
      <c r="T245" t="s">
        <v>52</v>
      </c>
      <c r="U245" t="s">
        <v>53</v>
      </c>
      <c r="V245" t="s">
        <v>921</v>
      </c>
      <c r="Y245" t="s">
        <v>55</v>
      </c>
      <c r="Z245" t="s">
        <v>56</v>
      </c>
      <c r="AA245" t="s">
        <v>70</v>
      </c>
      <c r="AB245" t="s">
        <v>259</v>
      </c>
      <c r="AC245">
        <v>5</v>
      </c>
      <c r="AD245" t="s">
        <v>72</v>
      </c>
      <c r="AE245" t="s">
        <v>73</v>
      </c>
      <c r="AF245">
        <v>3.6</v>
      </c>
      <c r="AG245">
        <v>5</v>
      </c>
      <c r="AH245">
        <v>7</v>
      </c>
      <c r="AI245" t="s">
        <v>128</v>
      </c>
      <c r="AJ245">
        <v>0</v>
      </c>
      <c r="AK245">
        <v>13</v>
      </c>
    </row>
    <row r="246" spans="1:37">
      <c r="A246" t="s">
        <v>922</v>
      </c>
      <c r="B246">
        <v>10222</v>
      </c>
      <c r="C246">
        <v>0</v>
      </c>
      <c r="D246">
        <v>2</v>
      </c>
      <c r="E246">
        <v>1</v>
      </c>
      <c r="F246">
        <v>5</v>
      </c>
      <c r="G246">
        <v>3</v>
      </c>
      <c r="H246">
        <v>3</v>
      </c>
      <c r="I246">
        <v>1</v>
      </c>
      <c r="J246">
        <v>148999</v>
      </c>
      <c r="K246">
        <v>1</v>
      </c>
      <c r="L246">
        <v>13</v>
      </c>
      <c r="M246" t="s">
        <v>919</v>
      </c>
      <c r="N246" t="s">
        <v>47</v>
      </c>
      <c r="O246">
        <v>1915</v>
      </c>
      <c r="P246" t="s">
        <v>923</v>
      </c>
      <c r="Q246" t="s">
        <v>49</v>
      </c>
      <c r="R246" t="s">
        <v>90</v>
      </c>
      <c r="S246" t="s">
        <v>51</v>
      </c>
      <c r="T246" t="s">
        <v>52</v>
      </c>
      <c r="U246" t="s">
        <v>118</v>
      </c>
      <c r="V246" t="s">
        <v>99</v>
      </c>
      <c r="X246" t="s">
        <v>377</v>
      </c>
      <c r="Y246" t="s">
        <v>80</v>
      </c>
      <c r="Z246" t="s">
        <v>69</v>
      </c>
      <c r="AA246" t="s">
        <v>70</v>
      </c>
      <c r="AB246" t="s">
        <v>259</v>
      </c>
      <c r="AC246">
        <v>5</v>
      </c>
      <c r="AD246" t="s">
        <v>121</v>
      </c>
      <c r="AE246" t="s">
        <v>73</v>
      </c>
      <c r="AF246">
        <v>4.3</v>
      </c>
      <c r="AG246">
        <v>4</v>
      </c>
      <c r="AH246">
        <v>6</v>
      </c>
      <c r="AI246" t="s">
        <v>924</v>
      </c>
      <c r="AJ246">
        <v>0</v>
      </c>
      <c r="AK246">
        <v>8</v>
      </c>
    </row>
    <row r="247" spans="1:37">
      <c r="A247" t="s">
        <v>925</v>
      </c>
      <c r="B247">
        <v>10126</v>
      </c>
      <c r="C247">
        <v>1</v>
      </c>
      <c r="D247">
        <v>1</v>
      </c>
      <c r="E247">
        <v>0</v>
      </c>
      <c r="F247">
        <v>1</v>
      </c>
      <c r="G247">
        <v>4</v>
      </c>
      <c r="H247">
        <v>3</v>
      </c>
      <c r="I247">
        <v>0</v>
      </c>
      <c r="J247">
        <v>86214</v>
      </c>
      <c r="K247">
        <v>0</v>
      </c>
      <c r="L247">
        <v>24</v>
      </c>
      <c r="M247" t="s">
        <v>103</v>
      </c>
      <c r="N247" t="s">
        <v>47</v>
      </c>
      <c r="O247">
        <v>2132</v>
      </c>
      <c r="P247" t="s">
        <v>926</v>
      </c>
      <c r="Q247" t="s">
        <v>78</v>
      </c>
      <c r="R247" t="s">
        <v>65</v>
      </c>
      <c r="S247" t="s">
        <v>51</v>
      </c>
      <c r="T247" t="s">
        <v>52</v>
      </c>
      <c r="U247" t="s">
        <v>53</v>
      </c>
      <c r="V247" t="s">
        <v>609</v>
      </c>
      <c r="Y247" t="s">
        <v>55</v>
      </c>
      <c r="Z247" t="s">
        <v>56</v>
      </c>
      <c r="AA247" t="s">
        <v>106</v>
      </c>
      <c r="AB247" t="s">
        <v>107</v>
      </c>
      <c r="AC247">
        <v>10</v>
      </c>
      <c r="AD247" t="s">
        <v>72</v>
      </c>
      <c r="AE247" t="s">
        <v>73</v>
      </c>
      <c r="AF247">
        <v>4.2</v>
      </c>
      <c r="AG247">
        <v>3</v>
      </c>
      <c r="AH247">
        <v>6</v>
      </c>
      <c r="AI247" t="s">
        <v>424</v>
      </c>
      <c r="AJ247">
        <v>0</v>
      </c>
      <c r="AK247">
        <v>2</v>
      </c>
    </row>
    <row r="248" spans="1:37">
      <c r="A248" t="s">
        <v>927</v>
      </c>
      <c r="B248">
        <v>10295</v>
      </c>
      <c r="C248">
        <v>0</v>
      </c>
      <c r="D248">
        <v>0</v>
      </c>
      <c r="E248">
        <v>0</v>
      </c>
      <c r="F248">
        <v>2</v>
      </c>
      <c r="G248">
        <v>5</v>
      </c>
      <c r="H248">
        <v>2</v>
      </c>
      <c r="I248">
        <v>1</v>
      </c>
      <c r="J248">
        <v>47750</v>
      </c>
      <c r="K248">
        <v>0</v>
      </c>
      <c r="L248">
        <v>19</v>
      </c>
      <c r="M248" t="s">
        <v>46</v>
      </c>
      <c r="N248" t="s">
        <v>47</v>
      </c>
      <c r="O248">
        <v>1801</v>
      </c>
      <c r="P248" t="s">
        <v>928</v>
      </c>
      <c r="Q248" t="s">
        <v>78</v>
      </c>
      <c r="R248" t="s">
        <v>50</v>
      </c>
      <c r="S248" t="s">
        <v>51</v>
      </c>
      <c r="T248" t="s">
        <v>52</v>
      </c>
      <c r="U248" t="s">
        <v>118</v>
      </c>
      <c r="V248" t="s">
        <v>929</v>
      </c>
      <c r="Y248" t="s">
        <v>55</v>
      </c>
      <c r="Z248" t="s">
        <v>56</v>
      </c>
      <c r="AA248" t="s">
        <v>57</v>
      </c>
      <c r="AB248" t="s">
        <v>151</v>
      </c>
      <c r="AC248">
        <v>18</v>
      </c>
      <c r="AD248" t="s">
        <v>121</v>
      </c>
      <c r="AE248" t="s">
        <v>197</v>
      </c>
      <c r="AF248">
        <v>2.6</v>
      </c>
      <c r="AG248">
        <v>4</v>
      </c>
      <c r="AH248">
        <v>0</v>
      </c>
      <c r="AI248" t="s">
        <v>128</v>
      </c>
      <c r="AJ248">
        <v>5</v>
      </c>
      <c r="AK248">
        <v>4</v>
      </c>
    </row>
    <row r="249" spans="1:37">
      <c r="A249" t="s">
        <v>930</v>
      </c>
      <c r="B249">
        <v>10260</v>
      </c>
      <c r="C249">
        <v>0</v>
      </c>
      <c r="D249">
        <v>0</v>
      </c>
      <c r="E249">
        <v>1</v>
      </c>
      <c r="F249">
        <v>5</v>
      </c>
      <c r="G249">
        <v>5</v>
      </c>
      <c r="H249">
        <v>3</v>
      </c>
      <c r="I249">
        <v>0</v>
      </c>
      <c r="J249">
        <v>46428</v>
      </c>
      <c r="K249">
        <v>1</v>
      </c>
      <c r="L249">
        <v>19</v>
      </c>
      <c r="M249" t="s">
        <v>46</v>
      </c>
      <c r="N249" t="s">
        <v>47</v>
      </c>
      <c r="O249">
        <v>2148</v>
      </c>
      <c r="P249" t="s">
        <v>931</v>
      </c>
      <c r="Q249" t="s">
        <v>49</v>
      </c>
      <c r="R249" t="s">
        <v>50</v>
      </c>
      <c r="S249" t="s">
        <v>51</v>
      </c>
      <c r="T249" t="s">
        <v>52</v>
      </c>
      <c r="U249" t="s">
        <v>53</v>
      </c>
      <c r="V249" t="s">
        <v>334</v>
      </c>
      <c r="X249" t="s">
        <v>932</v>
      </c>
      <c r="Y249" t="s">
        <v>298</v>
      </c>
      <c r="Z249" t="s">
        <v>69</v>
      </c>
      <c r="AA249" t="s">
        <v>57</v>
      </c>
      <c r="AB249" t="s">
        <v>58</v>
      </c>
      <c r="AC249">
        <v>22</v>
      </c>
      <c r="AD249" t="s">
        <v>95</v>
      </c>
      <c r="AE249" t="s">
        <v>73</v>
      </c>
      <c r="AF249">
        <v>4.5999999999999996</v>
      </c>
      <c r="AG249">
        <v>5</v>
      </c>
      <c r="AH249">
        <v>0</v>
      </c>
      <c r="AI249" t="s">
        <v>933</v>
      </c>
      <c r="AJ249">
        <v>0</v>
      </c>
      <c r="AK249">
        <v>7</v>
      </c>
    </row>
    <row r="250" spans="1:37">
      <c r="A250" t="s">
        <v>934</v>
      </c>
      <c r="B250">
        <v>10233</v>
      </c>
      <c r="C250">
        <v>1</v>
      </c>
      <c r="D250">
        <v>1</v>
      </c>
      <c r="E250">
        <v>1</v>
      </c>
      <c r="F250">
        <v>1</v>
      </c>
      <c r="G250">
        <v>5</v>
      </c>
      <c r="H250">
        <v>3</v>
      </c>
      <c r="I250">
        <v>0</v>
      </c>
      <c r="J250">
        <v>57975</v>
      </c>
      <c r="K250">
        <v>0</v>
      </c>
      <c r="L250">
        <v>20</v>
      </c>
      <c r="M250" t="s">
        <v>76</v>
      </c>
      <c r="N250" t="s">
        <v>47</v>
      </c>
      <c r="O250">
        <v>2062</v>
      </c>
      <c r="P250" t="s">
        <v>935</v>
      </c>
      <c r="Q250" t="s">
        <v>49</v>
      </c>
      <c r="R250" t="s">
        <v>65</v>
      </c>
      <c r="S250" t="s">
        <v>51</v>
      </c>
      <c r="T250" t="s">
        <v>52</v>
      </c>
      <c r="U250" t="s">
        <v>53</v>
      </c>
      <c r="V250" t="s">
        <v>315</v>
      </c>
      <c r="Y250" t="s">
        <v>55</v>
      </c>
      <c r="Z250" t="s">
        <v>56</v>
      </c>
      <c r="AA250" t="s">
        <v>57</v>
      </c>
      <c r="AB250" t="s">
        <v>151</v>
      </c>
      <c r="AC250">
        <v>18</v>
      </c>
      <c r="AD250" t="s">
        <v>196</v>
      </c>
      <c r="AE250" t="s">
        <v>73</v>
      </c>
      <c r="AF250">
        <v>4.0999999999999996</v>
      </c>
      <c r="AG250">
        <v>3</v>
      </c>
      <c r="AH250">
        <v>0</v>
      </c>
      <c r="AI250" t="s">
        <v>190</v>
      </c>
      <c r="AJ250">
        <v>0</v>
      </c>
      <c r="AK250">
        <v>13</v>
      </c>
    </row>
    <row r="251" spans="1:37">
      <c r="A251" t="s">
        <v>936</v>
      </c>
      <c r="B251">
        <v>10229</v>
      </c>
      <c r="C251">
        <v>0</v>
      </c>
      <c r="D251">
        <v>2</v>
      </c>
      <c r="E251">
        <v>1</v>
      </c>
      <c r="F251">
        <v>5</v>
      </c>
      <c r="G251">
        <v>3</v>
      </c>
      <c r="H251">
        <v>3</v>
      </c>
      <c r="I251">
        <v>0</v>
      </c>
      <c r="J251">
        <v>88527</v>
      </c>
      <c r="K251">
        <v>1</v>
      </c>
      <c r="L251">
        <v>9</v>
      </c>
      <c r="M251" t="s">
        <v>937</v>
      </c>
      <c r="N251" t="s">
        <v>47</v>
      </c>
      <c r="O251">
        <v>2452</v>
      </c>
      <c r="P251" t="s">
        <v>938</v>
      </c>
      <c r="Q251" t="s">
        <v>49</v>
      </c>
      <c r="R251" t="s">
        <v>90</v>
      </c>
      <c r="S251" t="s">
        <v>51</v>
      </c>
      <c r="T251" t="s">
        <v>52</v>
      </c>
      <c r="U251" t="s">
        <v>118</v>
      </c>
      <c r="V251" t="s">
        <v>126</v>
      </c>
      <c r="X251" t="s">
        <v>939</v>
      </c>
      <c r="Y251" t="s">
        <v>80</v>
      </c>
      <c r="Z251" t="s">
        <v>69</v>
      </c>
      <c r="AA251" t="s">
        <v>70</v>
      </c>
      <c r="AB251" t="s">
        <v>71</v>
      </c>
      <c r="AC251">
        <v>4</v>
      </c>
      <c r="AD251" t="s">
        <v>59</v>
      </c>
      <c r="AE251" t="s">
        <v>73</v>
      </c>
      <c r="AF251">
        <v>4.2</v>
      </c>
      <c r="AG251">
        <v>3</v>
      </c>
      <c r="AH251">
        <v>5</v>
      </c>
      <c r="AI251" t="s">
        <v>940</v>
      </c>
      <c r="AJ251">
        <v>0</v>
      </c>
      <c r="AK251">
        <v>2</v>
      </c>
    </row>
    <row r="252" spans="1:37">
      <c r="A252" t="s">
        <v>941</v>
      </c>
      <c r="B252">
        <v>10169</v>
      </c>
      <c r="C252">
        <v>1</v>
      </c>
      <c r="D252">
        <v>1</v>
      </c>
      <c r="E252">
        <v>0</v>
      </c>
      <c r="F252">
        <v>1</v>
      </c>
      <c r="G252">
        <v>5</v>
      </c>
      <c r="H252">
        <v>3</v>
      </c>
      <c r="I252">
        <v>0</v>
      </c>
      <c r="J252">
        <v>56147</v>
      </c>
      <c r="K252">
        <v>0</v>
      </c>
      <c r="L252">
        <v>19</v>
      </c>
      <c r="M252" t="s">
        <v>46</v>
      </c>
      <c r="N252" t="s">
        <v>47</v>
      </c>
      <c r="O252">
        <v>2154</v>
      </c>
      <c r="P252" t="s">
        <v>942</v>
      </c>
      <c r="Q252" t="s">
        <v>78</v>
      </c>
      <c r="R252" t="s">
        <v>65</v>
      </c>
      <c r="S252" t="s">
        <v>51</v>
      </c>
      <c r="T252" t="s">
        <v>52</v>
      </c>
      <c r="U252" t="s">
        <v>118</v>
      </c>
      <c r="V252" t="s">
        <v>234</v>
      </c>
      <c r="Y252" t="s">
        <v>55</v>
      </c>
      <c r="Z252" t="s">
        <v>56</v>
      </c>
      <c r="AA252" t="s">
        <v>57</v>
      </c>
      <c r="AB252" t="s">
        <v>86</v>
      </c>
      <c r="AC252">
        <v>16</v>
      </c>
      <c r="AD252" t="s">
        <v>59</v>
      </c>
      <c r="AE252" t="s">
        <v>73</v>
      </c>
      <c r="AF252">
        <v>3.51</v>
      </c>
      <c r="AG252">
        <v>3</v>
      </c>
      <c r="AH252">
        <v>0</v>
      </c>
      <c r="AI252" t="s">
        <v>128</v>
      </c>
      <c r="AJ252">
        <v>0</v>
      </c>
      <c r="AK252">
        <v>2</v>
      </c>
    </row>
    <row r="253" spans="1:37">
      <c r="A253" t="s">
        <v>943</v>
      </c>
      <c r="B253">
        <v>10071</v>
      </c>
      <c r="C253">
        <v>0</v>
      </c>
      <c r="D253">
        <v>0</v>
      </c>
      <c r="E253">
        <v>0</v>
      </c>
      <c r="F253">
        <v>3</v>
      </c>
      <c r="G253">
        <v>5</v>
      </c>
      <c r="H253">
        <v>3</v>
      </c>
      <c r="I253">
        <v>0</v>
      </c>
      <c r="J253">
        <v>50923</v>
      </c>
      <c r="K253">
        <v>0</v>
      </c>
      <c r="L253">
        <v>19</v>
      </c>
      <c r="M253" t="s">
        <v>46</v>
      </c>
      <c r="N253" t="s">
        <v>47</v>
      </c>
      <c r="O253">
        <v>2191</v>
      </c>
      <c r="P253" t="s">
        <v>944</v>
      </c>
      <c r="Q253" t="s">
        <v>78</v>
      </c>
      <c r="R253" t="s">
        <v>50</v>
      </c>
      <c r="S253" t="s">
        <v>51</v>
      </c>
      <c r="T253" t="s">
        <v>52</v>
      </c>
      <c r="U253" t="s">
        <v>182</v>
      </c>
      <c r="V253" t="s">
        <v>112</v>
      </c>
      <c r="Y253" t="s">
        <v>55</v>
      </c>
      <c r="Z253" t="s">
        <v>56</v>
      </c>
      <c r="AA253" t="s">
        <v>57</v>
      </c>
      <c r="AB253" t="s">
        <v>94</v>
      </c>
      <c r="AD253" t="s">
        <v>95</v>
      </c>
      <c r="AE253" t="s">
        <v>73</v>
      </c>
      <c r="AF253">
        <v>5</v>
      </c>
      <c r="AG253">
        <v>5</v>
      </c>
      <c r="AH253">
        <v>0</v>
      </c>
      <c r="AI253" t="s">
        <v>653</v>
      </c>
      <c r="AJ253">
        <v>0</v>
      </c>
      <c r="AK253">
        <v>14</v>
      </c>
    </row>
    <row r="254" spans="1:37">
      <c r="A254" t="s">
        <v>945</v>
      </c>
      <c r="B254">
        <v>10179</v>
      </c>
      <c r="C254">
        <v>1</v>
      </c>
      <c r="D254">
        <v>1</v>
      </c>
      <c r="E254">
        <v>0</v>
      </c>
      <c r="F254">
        <v>1</v>
      </c>
      <c r="G254">
        <v>3</v>
      </c>
      <c r="H254">
        <v>3</v>
      </c>
      <c r="I254">
        <v>0</v>
      </c>
      <c r="J254">
        <v>50750</v>
      </c>
      <c r="K254">
        <v>0</v>
      </c>
      <c r="L254">
        <v>15</v>
      </c>
      <c r="M254" t="s">
        <v>455</v>
      </c>
      <c r="N254" t="s">
        <v>47</v>
      </c>
      <c r="O254">
        <v>1773</v>
      </c>
      <c r="P254" t="s">
        <v>946</v>
      </c>
      <c r="Q254" t="s">
        <v>78</v>
      </c>
      <c r="R254" t="s">
        <v>65</v>
      </c>
      <c r="S254" t="s">
        <v>51</v>
      </c>
      <c r="T254" t="s">
        <v>52</v>
      </c>
      <c r="U254" t="s">
        <v>53</v>
      </c>
      <c r="V254" t="s">
        <v>947</v>
      </c>
      <c r="Y254" t="s">
        <v>55</v>
      </c>
      <c r="Z254" t="s">
        <v>56</v>
      </c>
      <c r="AA254" t="s">
        <v>70</v>
      </c>
      <c r="AB254" t="s">
        <v>127</v>
      </c>
      <c r="AC254">
        <v>7</v>
      </c>
      <c r="AD254" t="s">
        <v>59</v>
      </c>
      <c r="AE254" t="s">
        <v>73</v>
      </c>
      <c r="AF254">
        <v>3.31</v>
      </c>
      <c r="AG254">
        <v>3</v>
      </c>
      <c r="AH254">
        <v>6</v>
      </c>
      <c r="AI254" t="s">
        <v>101</v>
      </c>
      <c r="AJ254">
        <v>0</v>
      </c>
      <c r="AK254">
        <v>7</v>
      </c>
    </row>
    <row r="255" spans="1:37">
      <c r="A255" t="s">
        <v>948</v>
      </c>
      <c r="B255">
        <v>10091</v>
      </c>
      <c r="C255">
        <v>1</v>
      </c>
      <c r="D255">
        <v>1</v>
      </c>
      <c r="E255">
        <v>0</v>
      </c>
      <c r="F255">
        <v>1</v>
      </c>
      <c r="G255">
        <v>5</v>
      </c>
      <c r="H255">
        <v>3</v>
      </c>
      <c r="I255">
        <v>0</v>
      </c>
      <c r="J255">
        <v>52087</v>
      </c>
      <c r="K255">
        <v>0</v>
      </c>
      <c r="L255">
        <v>19</v>
      </c>
      <c r="M255" t="s">
        <v>46</v>
      </c>
      <c r="N255" t="s">
        <v>47</v>
      </c>
      <c r="O255">
        <v>2149</v>
      </c>
      <c r="P255" t="s">
        <v>949</v>
      </c>
      <c r="Q255" t="s">
        <v>78</v>
      </c>
      <c r="R255" t="s">
        <v>65</v>
      </c>
      <c r="S255" t="s">
        <v>51</v>
      </c>
      <c r="T255" t="s">
        <v>52</v>
      </c>
      <c r="U255" t="s">
        <v>53</v>
      </c>
      <c r="V255" t="s">
        <v>189</v>
      </c>
      <c r="Y255" t="s">
        <v>55</v>
      </c>
      <c r="Z255" t="s">
        <v>56</v>
      </c>
      <c r="AA255" t="s">
        <v>57</v>
      </c>
      <c r="AB255" t="s">
        <v>100</v>
      </c>
      <c r="AC255">
        <v>11</v>
      </c>
      <c r="AD255" t="s">
        <v>59</v>
      </c>
      <c r="AE255" t="s">
        <v>73</v>
      </c>
      <c r="AF255">
        <v>4.8099999999999996</v>
      </c>
      <c r="AG255">
        <v>4</v>
      </c>
      <c r="AH255">
        <v>0</v>
      </c>
      <c r="AI255" t="s">
        <v>538</v>
      </c>
      <c r="AJ255">
        <v>0</v>
      </c>
      <c r="AK255">
        <v>15</v>
      </c>
    </row>
    <row r="256" spans="1:37">
      <c r="A256" t="s">
        <v>950</v>
      </c>
      <c r="B256">
        <v>10178</v>
      </c>
      <c r="C256">
        <v>1</v>
      </c>
      <c r="D256">
        <v>1</v>
      </c>
      <c r="E256">
        <v>1</v>
      </c>
      <c r="F256">
        <v>1</v>
      </c>
      <c r="G256">
        <v>3</v>
      </c>
      <c r="H256">
        <v>3</v>
      </c>
      <c r="I256">
        <v>0</v>
      </c>
      <c r="J256">
        <v>87826</v>
      </c>
      <c r="K256">
        <v>0</v>
      </c>
      <c r="L256">
        <v>9</v>
      </c>
      <c r="M256" t="s">
        <v>144</v>
      </c>
      <c r="N256" t="s">
        <v>47</v>
      </c>
      <c r="O256">
        <v>2110</v>
      </c>
      <c r="P256" t="s">
        <v>951</v>
      </c>
      <c r="Q256" t="s">
        <v>49</v>
      </c>
      <c r="R256" t="s">
        <v>65</v>
      </c>
      <c r="S256" t="s">
        <v>51</v>
      </c>
      <c r="T256" t="s">
        <v>131</v>
      </c>
      <c r="U256" t="s">
        <v>53</v>
      </c>
      <c r="V256" t="s">
        <v>126</v>
      </c>
      <c r="Y256" t="s">
        <v>55</v>
      </c>
      <c r="Z256" t="s">
        <v>56</v>
      </c>
      <c r="AA256" t="s">
        <v>70</v>
      </c>
      <c r="AB256" t="s">
        <v>71</v>
      </c>
      <c r="AC256">
        <v>4</v>
      </c>
      <c r="AD256" t="s">
        <v>114</v>
      </c>
      <c r="AE256" t="s">
        <v>73</v>
      </c>
      <c r="AF256">
        <v>3.32</v>
      </c>
      <c r="AG256">
        <v>3</v>
      </c>
      <c r="AH256">
        <v>7</v>
      </c>
      <c r="AI256" t="s">
        <v>168</v>
      </c>
      <c r="AJ256">
        <v>0</v>
      </c>
      <c r="AK256">
        <v>16</v>
      </c>
    </row>
    <row r="257" spans="1:37">
      <c r="A257" t="s">
        <v>952</v>
      </c>
      <c r="B257">
        <v>10039</v>
      </c>
      <c r="C257">
        <v>0</v>
      </c>
      <c r="D257">
        <v>0</v>
      </c>
      <c r="E257">
        <v>0</v>
      </c>
      <c r="F257">
        <v>1</v>
      </c>
      <c r="G257">
        <v>1</v>
      </c>
      <c r="H257">
        <v>3</v>
      </c>
      <c r="I257">
        <v>0</v>
      </c>
      <c r="J257">
        <v>51920</v>
      </c>
      <c r="K257">
        <v>0</v>
      </c>
      <c r="L257">
        <v>2</v>
      </c>
      <c r="M257" t="s">
        <v>588</v>
      </c>
      <c r="N257" t="s">
        <v>47</v>
      </c>
      <c r="O257">
        <v>2330</v>
      </c>
      <c r="P257" t="s">
        <v>953</v>
      </c>
      <c r="Q257" t="s">
        <v>78</v>
      </c>
      <c r="R257" t="s">
        <v>50</v>
      </c>
      <c r="S257" t="s">
        <v>51</v>
      </c>
      <c r="T257" t="s">
        <v>52</v>
      </c>
      <c r="U257" t="s">
        <v>53</v>
      </c>
      <c r="V257" t="s">
        <v>954</v>
      </c>
      <c r="Y257" t="s">
        <v>55</v>
      </c>
      <c r="Z257" t="s">
        <v>56</v>
      </c>
      <c r="AA257" t="s">
        <v>214</v>
      </c>
      <c r="AB257" t="s">
        <v>215</v>
      </c>
      <c r="AC257">
        <v>1</v>
      </c>
      <c r="AD257" t="s">
        <v>393</v>
      </c>
      <c r="AE257" t="s">
        <v>73</v>
      </c>
      <c r="AF257">
        <v>5</v>
      </c>
      <c r="AG257">
        <v>3</v>
      </c>
      <c r="AH257">
        <v>5</v>
      </c>
      <c r="AI257" t="s">
        <v>231</v>
      </c>
      <c r="AJ257">
        <v>0</v>
      </c>
      <c r="AK257">
        <v>2</v>
      </c>
    </row>
    <row r="258" spans="1:37">
      <c r="A258" t="s">
        <v>955</v>
      </c>
      <c r="B258">
        <v>10095</v>
      </c>
      <c r="C258">
        <v>0</v>
      </c>
      <c r="D258">
        <v>0</v>
      </c>
      <c r="E258">
        <v>0</v>
      </c>
      <c r="F258">
        <v>5</v>
      </c>
      <c r="G258">
        <v>5</v>
      </c>
      <c r="H258">
        <v>3</v>
      </c>
      <c r="I258">
        <v>0</v>
      </c>
      <c r="J258">
        <v>63878</v>
      </c>
      <c r="K258">
        <v>1</v>
      </c>
      <c r="L258">
        <v>20</v>
      </c>
      <c r="M258" t="s">
        <v>76</v>
      </c>
      <c r="N258" t="s">
        <v>47</v>
      </c>
      <c r="O258">
        <v>1851</v>
      </c>
      <c r="P258" t="s">
        <v>956</v>
      </c>
      <c r="Q258" t="s">
        <v>78</v>
      </c>
      <c r="R258" t="s">
        <v>50</v>
      </c>
      <c r="S258" t="s">
        <v>51</v>
      </c>
      <c r="T258" t="s">
        <v>52</v>
      </c>
      <c r="U258" t="s">
        <v>53</v>
      </c>
      <c r="V258" t="s">
        <v>957</v>
      </c>
      <c r="X258" t="s">
        <v>958</v>
      </c>
      <c r="Y258" t="s">
        <v>633</v>
      </c>
      <c r="Z258" t="s">
        <v>69</v>
      </c>
      <c r="AA258" t="s">
        <v>57</v>
      </c>
      <c r="AB258" t="s">
        <v>58</v>
      </c>
      <c r="AC258">
        <v>22</v>
      </c>
      <c r="AD258" t="s">
        <v>196</v>
      </c>
      <c r="AE258" t="s">
        <v>73</v>
      </c>
      <c r="AF258">
        <v>4.68</v>
      </c>
      <c r="AG258">
        <v>4</v>
      </c>
      <c r="AH258">
        <v>0</v>
      </c>
      <c r="AI258" t="s">
        <v>959</v>
      </c>
      <c r="AJ258">
        <v>0</v>
      </c>
      <c r="AK258">
        <v>20</v>
      </c>
    </row>
    <row r="259" spans="1:37">
      <c r="A259" t="s">
        <v>960</v>
      </c>
      <c r="B259">
        <v>10027</v>
      </c>
      <c r="C259">
        <v>0</v>
      </c>
      <c r="D259">
        <v>0</v>
      </c>
      <c r="E259">
        <v>1</v>
      </c>
      <c r="F259">
        <v>1</v>
      </c>
      <c r="G259">
        <v>5</v>
      </c>
      <c r="H259">
        <v>4</v>
      </c>
      <c r="I259">
        <v>0</v>
      </c>
      <c r="J259">
        <v>60656</v>
      </c>
      <c r="K259">
        <v>0</v>
      </c>
      <c r="L259">
        <v>20</v>
      </c>
      <c r="M259" t="s">
        <v>76</v>
      </c>
      <c r="N259" t="s">
        <v>47</v>
      </c>
      <c r="O259">
        <v>2045</v>
      </c>
      <c r="P259" t="s">
        <v>961</v>
      </c>
      <c r="Q259" t="s">
        <v>49</v>
      </c>
      <c r="R259" t="s">
        <v>50</v>
      </c>
      <c r="S259" t="s">
        <v>51</v>
      </c>
      <c r="T259" t="s">
        <v>52</v>
      </c>
      <c r="U259" t="s">
        <v>53</v>
      </c>
      <c r="V259" t="s">
        <v>234</v>
      </c>
      <c r="Y259" t="s">
        <v>55</v>
      </c>
      <c r="Z259" t="s">
        <v>56</v>
      </c>
      <c r="AA259" t="s">
        <v>57</v>
      </c>
      <c r="AB259" t="s">
        <v>86</v>
      </c>
      <c r="AC259">
        <v>16</v>
      </c>
      <c r="AD259" t="s">
        <v>72</v>
      </c>
      <c r="AE259" t="s">
        <v>60</v>
      </c>
      <c r="AF259">
        <v>4.3</v>
      </c>
      <c r="AG259">
        <v>3</v>
      </c>
      <c r="AH259">
        <v>0</v>
      </c>
      <c r="AI259" t="s">
        <v>343</v>
      </c>
      <c r="AJ259">
        <v>0</v>
      </c>
      <c r="AK259">
        <v>4</v>
      </c>
    </row>
    <row r="260" spans="1:37">
      <c r="A260" t="s">
        <v>962</v>
      </c>
      <c r="B260">
        <v>10291</v>
      </c>
      <c r="C260">
        <v>0</v>
      </c>
      <c r="D260">
        <v>2</v>
      </c>
      <c r="E260">
        <v>1</v>
      </c>
      <c r="F260">
        <v>1</v>
      </c>
      <c r="G260">
        <v>6</v>
      </c>
      <c r="H260">
        <v>2</v>
      </c>
      <c r="I260">
        <v>1</v>
      </c>
      <c r="J260">
        <v>72992</v>
      </c>
      <c r="K260">
        <v>0</v>
      </c>
      <c r="L260">
        <v>21</v>
      </c>
      <c r="M260" t="s">
        <v>348</v>
      </c>
      <c r="N260" t="s">
        <v>47</v>
      </c>
      <c r="O260">
        <v>1886</v>
      </c>
      <c r="P260" t="s">
        <v>963</v>
      </c>
      <c r="Q260" t="s">
        <v>49</v>
      </c>
      <c r="R260" t="s">
        <v>90</v>
      </c>
      <c r="S260" t="s">
        <v>51</v>
      </c>
      <c r="T260" t="s">
        <v>52</v>
      </c>
      <c r="U260" t="s">
        <v>118</v>
      </c>
      <c r="V260" t="s">
        <v>964</v>
      </c>
      <c r="Y260" t="s">
        <v>55</v>
      </c>
      <c r="Z260" t="s">
        <v>56</v>
      </c>
      <c r="AA260" t="s">
        <v>247</v>
      </c>
      <c r="AB260" t="s">
        <v>351</v>
      </c>
      <c r="AC260">
        <v>15</v>
      </c>
      <c r="AD260" t="s">
        <v>121</v>
      </c>
      <c r="AE260" t="s">
        <v>197</v>
      </c>
      <c r="AF260">
        <v>2.4</v>
      </c>
      <c r="AG260">
        <v>4</v>
      </c>
      <c r="AH260">
        <v>0</v>
      </c>
      <c r="AI260" t="s">
        <v>494</v>
      </c>
      <c r="AJ260">
        <v>2</v>
      </c>
      <c r="AK260">
        <v>16</v>
      </c>
    </row>
    <row r="261" spans="1:37">
      <c r="A261" t="s">
        <v>965</v>
      </c>
      <c r="B261">
        <v>10153</v>
      </c>
      <c r="C261">
        <v>1</v>
      </c>
      <c r="D261">
        <v>1</v>
      </c>
      <c r="E261">
        <v>0</v>
      </c>
      <c r="F261">
        <v>5</v>
      </c>
      <c r="G261">
        <v>1</v>
      </c>
      <c r="H261">
        <v>3</v>
      </c>
      <c r="I261">
        <v>1</v>
      </c>
      <c r="J261">
        <v>55000</v>
      </c>
      <c r="K261">
        <v>1</v>
      </c>
      <c r="L261">
        <v>2</v>
      </c>
      <c r="M261" t="s">
        <v>588</v>
      </c>
      <c r="N261" t="s">
        <v>47</v>
      </c>
      <c r="O261">
        <v>1844</v>
      </c>
      <c r="P261" t="s">
        <v>679</v>
      </c>
      <c r="Q261" t="s">
        <v>78</v>
      </c>
      <c r="R261" t="s">
        <v>65</v>
      </c>
      <c r="S261" t="s">
        <v>51</v>
      </c>
      <c r="T261" t="s">
        <v>52</v>
      </c>
      <c r="U261" t="s">
        <v>118</v>
      </c>
      <c r="V261" t="s">
        <v>316</v>
      </c>
      <c r="X261" t="s">
        <v>966</v>
      </c>
      <c r="Y261" t="s">
        <v>68</v>
      </c>
      <c r="Z261" t="s">
        <v>69</v>
      </c>
      <c r="AA261" t="s">
        <v>214</v>
      </c>
      <c r="AB261" t="s">
        <v>215</v>
      </c>
      <c r="AC261">
        <v>1</v>
      </c>
      <c r="AD261" t="s">
        <v>121</v>
      </c>
      <c r="AE261" t="s">
        <v>73</v>
      </c>
      <c r="AF261">
        <v>3.8</v>
      </c>
      <c r="AG261">
        <v>4</v>
      </c>
      <c r="AH261">
        <v>4</v>
      </c>
      <c r="AI261" t="s">
        <v>967</v>
      </c>
      <c r="AJ261">
        <v>0</v>
      </c>
      <c r="AK261">
        <v>17</v>
      </c>
    </row>
    <row r="262" spans="1:37">
      <c r="A262" t="s">
        <v>968</v>
      </c>
      <c r="B262">
        <v>10157</v>
      </c>
      <c r="C262">
        <v>0</v>
      </c>
      <c r="D262">
        <v>0</v>
      </c>
      <c r="E262">
        <v>0</v>
      </c>
      <c r="F262">
        <v>1</v>
      </c>
      <c r="G262">
        <v>5</v>
      </c>
      <c r="H262">
        <v>3</v>
      </c>
      <c r="I262">
        <v>0</v>
      </c>
      <c r="J262">
        <v>58939</v>
      </c>
      <c r="K262">
        <v>0</v>
      </c>
      <c r="L262">
        <v>19</v>
      </c>
      <c r="M262" t="s">
        <v>46</v>
      </c>
      <c r="N262" t="s">
        <v>47</v>
      </c>
      <c r="O262">
        <v>2130</v>
      </c>
      <c r="P262" t="s">
        <v>969</v>
      </c>
      <c r="Q262" t="s">
        <v>78</v>
      </c>
      <c r="R262" t="s">
        <v>50</v>
      </c>
      <c r="S262" t="s">
        <v>51</v>
      </c>
      <c r="T262" t="s">
        <v>52</v>
      </c>
      <c r="U262" t="s">
        <v>53</v>
      </c>
      <c r="V262" t="s">
        <v>239</v>
      </c>
      <c r="Y262" t="s">
        <v>55</v>
      </c>
      <c r="Z262" t="s">
        <v>56</v>
      </c>
      <c r="AA262" t="s">
        <v>57</v>
      </c>
      <c r="AB262" t="s">
        <v>113</v>
      </c>
      <c r="AC262">
        <v>19</v>
      </c>
      <c r="AD262" t="s">
        <v>114</v>
      </c>
      <c r="AE262" t="s">
        <v>73</v>
      </c>
      <c r="AF262">
        <v>3.73</v>
      </c>
      <c r="AG262">
        <v>3</v>
      </c>
      <c r="AH262">
        <v>0</v>
      </c>
      <c r="AI262" t="s">
        <v>352</v>
      </c>
      <c r="AJ262">
        <v>0</v>
      </c>
      <c r="AK262">
        <v>16</v>
      </c>
    </row>
    <row r="263" spans="1:37">
      <c r="A263" t="s">
        <v>970</v>
      </c>
      <c r="B263">
        <v>10119</v>
      </c>
      <c r="C263">
        <v>1</v>
      </c>
      <c r="D263">
        <v>1</v>
      </c>
      <c r="E263">
        <v>0</v>
      </c>
      <c r="F263">
        <v>1</v>
      </c>
      <c r="G263">
        <v>3</v>
      </c>
      <c r="H263">
        <v>3</v>
      </c>
      <c r="I263">
        <v>0</v>
      </c>
      <c r="J263">
        <v>66593</v>
      </c>
      <c r="K263">
        <v>0</v>
      </c>
      <c r="L263">
        <v>14</v>
      </c>
      <c r="M263" t="s">
        <v>124</v>
      </c>
      <c r="N263" t="s">
        <v>47</v>
      </c>
      <c r="O263">
        <v>2360</v>
      </c>
      <c r="P263" t="s">
        <v>971</v>
      </c>
      <c r="Q263" t="s">
        <v>78</v>
      </c>
      <c r="R263" t="s">
        <v>65</v>
      </c>
      <c r="S263" t="s">
        <v>51</v>
      </c>
      <c r="T263" t="s">
        <v>52</v>
      </c>
      <c r="U263" t="s">
        <v>118</v>
      </c>
      <c r="V263" t="s">
        <v>972</v>
      </c>
      <c r="Y263" t="s">
        <v>55</v>
      </c>
      <c r="Z263" t="s">
        <v>56</v>
      </c>
      <c r="AA263" t="s">
        <v>70</v>
      </c>
      <c r="AB263" t="s">
        <v>307</v>
      </c>
      <c r="AC263">
        <v>6</v>
      </c>
      <c r="AD263" t="s">
        <v>59</v>
      </c>
      <c r="AE263" t="s">
        <v>73</v>
      </c>
      <c r="AF263">
        <v>4.3</v>
      </c>
      <c r="AG263">
        <v>3</v>
      </c>
      <c r="AH263">
        <v>5</v>
      </c>
      <c r="AI263" t="s">
        <v>480</v>
      </c>
      <c r="AJ263">
        <v>0</v>
      </c>
      <c r="AK263">
        <v>19</v>
      </c>
    </row>
    <row r="264" spans="1:37">
      <c r="A264" t="s">
        <v>973</v>
      </c>
      <c r="B264">
        <v>10180</v>
      </c>
      <c r="C264">
        <v>1</v>
      </c>
      <c r="D264">
        <v>1</v>
      </c>
      <c r="E264">
        <v>1</v>
      </c>
      <c r="F264">
        <v>2</v>
      </c>
      <c r="G264">
        <v>3</v>
      </c>
      <c r="H264">
        <v>3</v>
      </c>
      <c r="I264">
        <v>0</v>
      </c>
      <c r="J264">
        <v>87565</v>
      </c>
      <c r="K264">
        <v>0</v>
      </c>
      <c r="L264">
        <v>28</v>
      </c>
      <c r="M264" t="s">
        <v>345</v>
      </c>
      <c r="N264" t="s">
        <v>47</v>
      </c>
      <c r="O264">
        <v>1545</v>
      </c>
      <c r="P264" t="s">
        <v>974</v>
      </c>
      <c r="Q264" t="s">
        <v>49</v>
      </c>
      <c r="R264" t="s">
        <v>65</v>
      </c>
      <c r="S264" t="s">
        <v>51</v>
      </c>
      <c r="T264" t="s">
        <v>52</v>
      </c>
      <c r="U264" t="s">
        <v>182</v>
      </c>
      <c r="V264" t="s">
        <v>272</v>
      </c>
      <c r="Y264" t="s">
        <v>55</v>
      </c>
      <c r="Z264" t="s">
        <v>56</v>
      </c>
      <c r="AA264" t="s">
        <v>70</v>
      </c>
      <c r="AB264" t="s">
        <v>127</v>
      </c>
      <c r="AC264">
        <v>7</v>
      </c>
      <c r="AD264" t="s">
        <v>59</v>
      </c>
      <c r="AE264" t="s">
        <v>73</v>
      </c>
      <c r="AF264">
        <v>3.27</v>
      </c>
      <c r="AG264">
        <v>4</v>
      </c>
      <c r="AH264">
        <v>5</v>
      </c>
      <c r="AI264" t="s">
        <v>168</v>
      </c>
      <c r="AJ264">
        <v>0</v>
      </c>
      <c r="AK264">
        <v>13</v>
      </c>
    </row>
    <row r="265" spans="1:37">
      <c r="A265" t="s">
        <v>975</v>
      </c>
      <c r="B265">
        <v>10302</v>
      </c>
      <c r="C265">
        <v>1</v>
      </c>
      <c r="D265">
        <v>1</v>
      </c>
      <c r="E265">
        <v>0</v>
      </c>
      <c r="F265">
        <v>1</v>
      </c>
      <c r="G265">
        <v>5</v>
      </c>
      <c r="H265">
        <v>1</v>
      </c>
      <c r="I265">
        <v>0</v>
      </c>
      <c r="J265">
        <v>64021</v>
      </c>
      <c r="K265">
        <v>0</v>
      </c>
      <c r="L265">
        <v>19</v>
      </c>
      <c r="M265" t="s">
        <v>46</v>
      </c>
      <c r="N265" t="s">
        <v>47</v>
      </c>
      <c r="O265">
        <v>2093</v>
      </c>
      <c r="P265" t="s">
        <v>976</v>
      </c>
      <c r="Q265" t="s">
        <v>78</v>
      </c>
      <c r="R265" t="s">
        <v>65</v>
      </c>
      <c r="S265" t="s">
        <v>51</v>
      </c>
      <c r="T265" t="s">
        <v>52</v>
      </c>
      <c r="U265" t="s">
        <v>53</v>
      </c>
      <c r="V265" t="s">
        <v>150</v>
      </c>
      <c r="Y265" t="s">
        <v>55</v>
      </c>
      <c r="Z265" t="s">
        <v>56</v>
      </c>
      <c r="AA265" t="s">
        <v>57</v>
      </c>
      <c r="AB265" t="s">
        <v>120</v>
      </c>
      <c r="AC265">
        <v>12</v>
      </c>
      <c r="AD265" t="s">
        <v>72</v>
      </c>
      <c r="AE265" t="s">
        <v>374</v>
      </c>
      <c r="AF265">
        <v>2.4</v>
      </c>
      <c r="AG265">
        <v>2</v>
      </c>
      <c r="AH265">
        <v>1</v>
      </c>
      <c r="AI265" t="s">
        <v>115</v>
      </c>
      <c r="AJ265">
        <v>6</v>
      </c>
      <c r="AK265">
        <v>20</v>
      </c>
    </row>
    <row r="266" spans="1:37">
      <c r="A266" t="s">
        <v>977</v>
      </c>
      <c r="B266">
        <v>10090</v>
      </c>
      <c r="C266">
        <v>1</v>
      </c>
      <c r="D266">
        <v>1</v>
      </c>
      <c r="E266">
        <v>0</v>
      </c>
      <c r="F266">
        <v>1</v>
      </c>
      <c r="G266">
        <v>5</v>
      </c>
      <c r="H266">
        <v>3</v>
      </c>
      <c r="I266">
        <v>0</v>
      </c>
      <c r="J266">
        <v>65714</v>
      </c>
      <c r="K266">
        <v>0</v>
      </c>
      <c r="L266">
        <v>18</v>
      </c>
      <c r="M266" t="s">
        <v>217</v>
      </c>
      <c r="N266" t="s">
        <v>47</v>
      </c>
      <c r="O266">
        <v>2451</v>
      </c>
      <c r="P266" t="s">
        <v>978</v>
      </c>
      <c r="Q266" t="s">
        <v>78</v>
      </c>
      <c r="R266" t="s">
        <v>65</v>
      </c>
      <c r="S266" t="s">
        <v>51</v>
      </c>
      <c r="T266" t="s">
        <v>52</v>
      </c>
      <c r="U266" t="s">
        <v>53</v>
      </c>
      <c r="V266" t="s">
        <v>979</v>
      </c>
      <c r="Y266" t="s">
        <v>55</v>
      </c>
      <c r="Z266" t="s">
        <v>56</v>
      </c>
      <c r="AA266" t="s">
        <v>57</v>
      </c>
      <c r="AB266" t="s">
        <v>221</v>
      </c>
      <c r="AC266">
        <v>2</v>
      </c>
      <c r="AD266" t="s">
        <v>59</v>
      </c>
      <c r="AE266" t="s">
        <v>73</v>
      </c>
      <c r="AF266">
        <v>4.83</v>
      </c>
      <c r="AG266">
        <v>5</v>
      </c>
      <c r="AH266">
        <v>0</v>
      </c>
      <c r="AI266" t="s">
        <v>152</v>
      </c>
      <c r="AJ266">
        <v>0</v>
      </c>
      <c r="AK266">
        <v>15</v>
      </c>
    </row>
    <row r="267" spans="1:37">
      <c r="A267" t="s">
        <v>980</v>
      </c>
      <c r="B267">
        <v>10030</v>
      </c>
      <c r="C267">
        <v>0</v>
      </c>
      <c r="D267">
        <v>2</v>
      </c>
      <c r="E267">
        <v>0</v>
      </c>
      <c r="F267">
        <v>5</v>
      </c>
      <c r="G267">
        <v>5</v>
      </c>
      <c r="H267">
        <v>4</v>
      </c>
      <c r="I267">
        <v>0</v>
      </c>
      <c r="J267">
        <v>62425</v>
      </c>
      <c r="K267">
        <v>1</v>
      </c>
      <c r="L267">
        <v>19</v>
      </c>
      <c r="M267" t="s">
        <v>46</v>
      </c>
      <c r="N267" t="s">
        <v>47</v>
      </c>
      <c r="O267">
        <v>2359</v>
      </c>
      <c r="P267" t="s">
        <v>981</v>
      </c>
      <c r="Q267" t="s">
        <v>78</v>
      </c>
      <c r="R267" t="s">
        <v>90</v>
      </c>
      <c r="S267" t="s">
        <v>51</v>
      </c>
      <c r="T267" t="s">
        <v>52</v>
      </c>
      <c r="U267" t="s">
        <v>53</v>
      </c>
      <c r="V267" t="s">
        <v>764</v>
      </c>
      <c r="X267" t="s">
        <v>982</v>
      </c>
      <c r="Y267" t="s">
        <v>141</v>
      </c>
      <c r="Z267" t="s">
        <v>69</v>
      </c>
      <c r="AA267" t="s">
        <v>57</v>
      </c>
      <c r="AB267" t="s">
        <v>135</v>
      </c>
      <c r="AC267">
        <v>14</v>
      </c>
      <c r="AD267" t="s">
        <v>59</v>
      </c>
      <c r="AE267" t="s">
        <v>60</v>
      </c>
      <c r="AF267">
        <v>4.0999999999999996</v>
      </c>
      <c r="AG267">
        <v>4</v>
      </c>
      <c r="AH267">
        <v>0</v>
      </c>
      <c r="AI267" t="s">
        <v>983</v>
      </c>
      <c r="AJ267">
        <v>0</v>
      </c>
      <c r="AK267">
        <v>16</v>
      </c>
    </row>
    <row r="268" spans="1:37">
      <c r="A268" t="s">
        <v>984</v>
      </c>
      <c r="B268">
        <v>10278</v>
      </c>
      <c r="C268">
        <v>0</v>
      </c>
      <c r="D268">
        <v>2</v>
      </c>
      <c r="E268">
        <v>0</v>
      </c>
      <c r="F268">
        <v>1</v>
      </c>
      <c r="G268">
        <v>5</v>
      </c>
      <c r="H268">
        <v>3</v>
      </c>
      <c r="I268">
        <v>0</v>
      </c>
      <c r="J268">
        <v>47961</v>
      </c>
      <c r="K268">
        <v>0</v>
      </c>
      <c r="L268">
        <v>19</v>
      </c>
      <c r="M268" t="s">
        <v>46</v>
      </c>
      <c r="N268" t="s">
        <v>47</v>
      </c>
      <c r="O268">
        <v>2050</v>
      </c>
      <c r="P268" t="s">
        <v>985</v>
      </c>
      <c r="Q268" t="s">
        <v>78</v>
      </c>
      <c r="R268" t="s">
        <v>90</v>
      </c>
      <c r="S268" t="s">
        <v>51</v>
      </c>
      <c r="T268" t="s">
        <v>52</v>
      </c>
      <c r="U268" t="s">
        <v>149</v>
      </c>
      <c r="V268" t="s">
        <v>132</v>
      </c>
      <c r="Y268" t="s">
        <v>55</v>
      </c>
      <c r="Z268" t="s">
        <v>56</v>
      </c>
      <c r="AA268" t="s">
        <v>57</v>
      </c>
      <c r="AB268" t="s">
        <v>81</v>
      </c>
      <c r="AC268">
        <v>20</v>
      </c>
      <c r="AD268" t="s">
        <v>95</v>
      </c>
      <c r="AE268" t="s">
        <v>73</v>
      </c>
      <c r="AF268">
        <v>4.0999999999999996</v>
      </c>
      <c r="AG268">
        <v>4</v>
      </c>
      <c r="AH268">
        <v>0</v>
      </c>
      <c r="AI268" t="s">
        <v>510</v>
      </c>
      <c r="AJ268">
        <v>0</v>
      </c>
      <c r="AK268">
        <v>9</v>
      </c>
    </row>
    <row r="269" spans="1:37">
      <c r="A269" t="s">
        <v>986</v>
      </c>
      <c r="B269">
        <v>10307</v>
      </c>
      <c r="C269">
        <v>1</v>
      </c>
      <c r="D269">
        <v>1</v>
      </c>
      <c r="E269">
        <v>1</v>
      </c>
      <c r="F269">
        <v>1</v>
      </c>
      <c r="G269">
        <v>6</v>
      </c>
      <c r="H269">
        <v>1</v>
      </c>
      <c r="I269">
        <v>0</v>
      </c>
      <c r="J269">
        <v>58273</v>
      </c>
      <c r="K269">
        <v>0</v>
      </c>
      <c r="L269">
        <v>3</v>
      </c>
      <c r="M269" t="s">
        <v>242</v>
      </c>
      <c r="N269" t="s">
        <v>987</v>
      </c>
      <c r="O269">
        <v>89139</v>
      </c>
      <c r="P269" t="s">
        <v>988</v>
      </c>
      <c r="Q269" t="s">
        <v>49</v>
      </c>
      <c r="R269" t="s">
        <v>65</v>
      </c>
      <c r="S269" t="s">
        <v>51</v>
      </c>
      <c r="T269" t="s">
        <v>52</v>
      </c>
      <c r="U269" t="s">
        <v>53</v>
      </c>
      <c r="V269" t="s">
        <v>285</v>
      </c>
      <c r="Y269" t="s">
        <v>55</v>
      </c>
      <c r="Z269" t="s">
        <v>56</v>
      </c>
      <c r="AA269" t="s">
        <v>247</v>
      </c>
      <c r="AB269" t="s">
        <v>292</v>
      </c>
      <c r="AC269">
        <v>21</v>
      </c>
      <c r="AD269" t="s">
        <v>393</v>
      </c>
      <c r="AE269" t="s">
        <v>374</v>
      </c>
      <c r="AF269">
        <v>1.81</v>
      </c>
      <c r="AG269">
        <v>2</v>
      </c>
      <c r="AH269">
        <v>0</v>
      </c>
      <c r="AI269" t="s">
        <v>61</v>
      </c>
      <c r="AJ269">
        <v>3</v>
      </c>
      <c r="AK269">
        <v>5</v>
      </c>
    </row>
    <row r="270" spans="1:37">
      <c r="A270" t="s">
        <v>989</v>
      </c>
      <c r="B270">
        <v>10147</v>
      </c>
      <c r="C270">
        <v>0</v>
      </c>
      <c r="D270">
        <v>0</v>
      </c>
      <c r="E270">
        <v>1</v>
      </c>
      <c r="F270">
        <v>1</v>
      </c>
      <c r="G270">
        <v>1</v>
      </c>
      <c r="H270">
        <v>3</v>
      </c>
      <c r="I270">
        <v>0</v>
      </c>
      <c r="J270">
        <v>63003</v>
      </c>
      <c r="K270">
        <v>0</v>
      </c>
      <c r="L270">
        <v>1</v>
      </c>
      <c r="M270" t="s">
        <v>228</v>
      </c>
      <c r="N270" t="s">
        <v>47</v>
      </c>
      <c r="O270">
        <v>2703</v>
      </c>
      <c r="P270" t="s">
        <v>990</v>
      </c>
      <c r="Q270" t="s">
        <v>49</v>
      </c>
      <c r="R270" t="s">
        <v>50</v>
      </c>
      <c r="S270" t="s">
        <v>51</v>
      </c>
      <c r="T270" t="s">
        <v>52</v>
      </c>
      <c r="U270" t="s">
        <v>53</v>
      </c>
      <c r="V270" t="s">
        <v>234</v>
      </c>
      <c r="Y270" t="s">
        <v>55</v>
      </c>
      <c r="Z270" t="s">
        <v>56</v>
      </c>
      <c r="AA270" t="s">
        <v>214</v>
      </c>
      <c r="AB270" t="s">
        <v>215</v>
      </c>
      <c r="AC270">
        <v>1</v>
      </c>
      <c r="AD270" t="s">
        <v>72</v>
      </c>
      <c r="AE270" t="s">
        <v>73</v>
      </c>
      <c r="AF270">
        <v>3.9</v>
      </c>
      <c r="AG270">
        <v>5</v>
      </c>
      <c r="AH270">
        <v>5</v>
      </c>
      <c r="AI270" t="s">
        <v>397</v>
      </c>
      <c r="AJ270">
        <v>0</v>
      </c>
      <c r="AK270">
        <v>9</v>
      </c>
    </row>
    <row r="271" spans="1:37">
      <c r="A271" t="s">
        <v>991</v>
      </c>
      <c r="B271">
        <v>10266</v>
      </c>
      <c r="C271">
        <v>1</v>
      </c>
      <c r="D271">
        <v>1</v>
      </c>
      <c r="E271">
        <v>1</v>
      </c>
      <c r="F271">
        <v>1</v>
      </c>
      <c r="G271">
        <v>5</v>
      </c>
      <c r="H271">
        <v>3</v>
      </c>
      <c r="I271">
        <v>0</v>
      </c>
      <c r="J271">
        <v>61355</v>
      </c>
      <c r="K271">
        <v>0</v>
      </c>
      <c r="L271">
        <v>19</v>
      </c>
      <c r="M271" t="s">
        <v>46</v>
      </c>
      <c r="N271" t="s">
        <v>47</v>
      </c>
      <c r="O271">
        <v>2301</v>
      </c>
      <c r="P271" t="s">
        <v>992</v>
      </c>
      <c r="Q271" t="s">
        <v>49</v>
      </c>
      <c r="R271" t="s">
        <v>65</v>
      </c>
      <c r="S271" t="s">
        <v>51</v>
      </c>
      <c r="T271" t="s">
        <v>52</v>
      </c>
      <c r="U271" t="s">
        <v>182</v>
      </c>
      <c r="V271" t="s">
        <v>206</v>
      </c>
      <c r="Y271" t="s">
        <v>55</v>
      </c>
      <c r="Z271" t="s">
        <v>56</v>
      </c>
      <c r="AA271" t="s">
        <v>57</v>
      </c>
      <c r="AB271" t="s">
        <v>151</v>
      </c>
      <c r="AC271">
        <v>18</v>
      </c>
      <c r="AD271" t="s">
        <v>59</v>
      </c>
      <c r="AE271" t="s">
        <v>73</v>
      </c>
      <c r="AF271">
        <v>4.7</v>
      </c>
      <c r="AG271">
        <v>3</v>
      </c>
      <c r="AH271">
        <v>0</v>
      </c>
      <c r="AI271" t="s">
        <v>184</v>
      </c>
      <c r="AJ271">
        <v>0</v>
      </c>
      <c r="AK271">
        <v>4</v>
      </c>
    </row>
    <row r="272" spans="1:37">
      <c r="A272" t="s">
        <v>993</v>
      </c>
      <c r="B272">
        <v>10241</v>
      </c>
      <c r="C272">
        <v>1</v>
      </c>
      <c r="D272">
        <v>1</v>
      </c>
      <c r="E272">
        <v>0</v>
      </c>
      <c r="F272">
        <v>1</v>
      </c>
      <c r="G272">
        <v>6</v>
      </c>
      <c r="H272">
        <v>3</v>
      </c>
      <c r="I272">
        <v>0</v>
      </c>
      <c r="J272">
        <v>60120</v>
      </c>
      <c r="K272">
        <v>0</v>
      </c>
      <c r="L272">
        <v>3</v>
      </c>
      <c r="M272" t="s">
        <v>242</v>
      </c>
      <c r="N272" t="s">
        <v>994</v>
      </c>
      <c r="O272">
        <v>59102</v>
      </c>
      <c r="P272" t="s">
        <v>995</v>
      </c>
      <c r="Q272" t="s">
        <v>78</v>
      </c>
      <c r="R272" t="s">
        <v>65</v>
      </c>
      <c r="S272" t="s">
        <v>51</v>
      </c>
      <c r="T272" t="s">
        <v>52</v>
      </c>
      <c r="U272" t="s">
        <v>118</v>
      </c>
      <c r="V272" t="s">
        <v>996</v>
      </c>
      <c r="Y272" t="s">
        <v>55</v>
      </c>
      <c r="Z272" t="s">
        <v>56</v>
      </c>
      <c r="AA272" t="s">
        <v>247</v>
      </c>
      <c r="AB272" t="s">
        <v>248</v>
      </c>
      <c r="AC272">
        <v>17</v>
      </c>
      <c r="AD272" t="s">
        <v>72</v>
      </c>
      <c r="AE272" t="s">
        <v>73</v>
      </c>
      <c r="AF272">
        <v>4.0999999999999996</v>
      </c>
      <c r="AG272">
        <v>4</v>
      </c>
      <c r="AH272">
        <v>0</v>
      </c>
      <c r="AI272" t="s">
        <v>364</v>
      </c>
      <c r="AJ272">
        <v>0</v>
      </c>
      <c r="AK272">
        <v>18</v>
      </c>
    </row>
    <row r="273" spans="1:37">
      <c r="A273" t="s">
        <v>997</v>
      </c>
      <c r="B273">
        <v>10158</v>
      </c>
      <c r="C273">
        <v>1</v>
      </c>
      <c r="D273">
        <v>1</v>
      </c>
      <c r="E273">
        <v>0</v>
      </c>
      <c r="F273">
        <v>1</v>
      </c>
      <c r="G273">
        <v>5</v>
      </c>
      <c r="H273">
        <v>3</v>
      </c>
      <c r="I273">
        <v>0</v>
      </c>
      <c r="J273">
        <v>63682</v>
      </c>
      <c r="K273">
        <v>0</v>
      </c>
      <c r="L273">
        <v>18</v>
      </c>
      <c r="M273" t="s">
        <v>217</v>
      </c>
      <c r="N273" t="s">
        <v>47</v>
      </c>
      <c r="O273">
        <v>1776</v>
      </c>
      <c r="P273" t="s">
        <v>998</v>
      </c>
      <c r="Q273" t="s">
        <v>78</v>
      </c>
      <c r="R273" t="s">
        <v>65</v>
      </c>
      <c r="S273" t="s">
        <v>51</v>
      </c>
      <c r="T273" t="s">
        <v>52</v>
      </c>
      <c r="U273" t="s">
        <v>118</v>
      </c>
      <c r="V273" t="s">
        <v>999</v>
      </c>
      <c r="Y273" t="s">
        <v>55</v>
      </c>
      <c r="Z273" t="s">
        <v>56</v>
      </c>
      <c r="AA273" t="s">
        <v>57</v>
      </c>
      <c r="AB273" t="s">
        <v>221</v>
      </c>
      <c r="AC273">
        <v>2</v>
      </c>
      <c r="AD273" t="s">
        <v>72</v>
      </c>
      <c r="AE273" t="s">
        <v>73</v>
      </c>
      <c r="AF273">
        <v>3.73</v>
      </c>
      <c r="AG273">
        <v>4</v>
      </c>
      <c r="AH273">
        <v>0</v>
      </c>
      <c r="AI273" t="s">
        <v>352</v>
      </c>
      <c r="AJ273">
        <v>0</v>
      </c>
      <c r="AK273">
        <v>12</v>
      </c>
    </row>
    <row r="274" spans="1:37">
      <c r="A274" t="s">
        <v>1000</v>
      </c>
      <c r="B274">
        <v>10117</v>
      </c>
      <c r="C274">
        <v>1</v>
      </c>
      <c r="D274">
        <v>1</v>
      </c>
      <c r="E274">
        <v>1</v>
      </c>
      <c r="F274">
        <v>1</v>
      </c>
      <c r="G274">
        <v>5</v>
      </c>
      <c r="H274">
        <v>3</v>
      </c>
      <c r="I274">
        <v>0</v>
      </c>
      <c r="J274">
        <v>63025</v>
      </c>
      <c r="K274">
        <v>0</v>
      </c>
      <c r="L274">
        <v>19</v>
      </c>
      <c r="M274" t="s">
        <v>46</v>
      </c>
      <c r="N274" t="s">
        <v>47</v>
      </c>
      <c r="O274">
        <v>2747</v>
      </c>
      <c r="P274" t="s">
        <v>1001</v>
      </c>
      <c r="Q274" t="s">
        <v>49</v>
      </c>
      <c r="R274" t="s">
        <v>65</v>
      </c>
      <c r="S274" t="s">
        <v>51</v>
      </c>
      <c r="T274" t="s">
        <v>131</v>
      </c>
      <c r="U274" t="s">
        <v>53</v>
      </c>
      <c r="V274" t="s">
        <v>126</v>
      </c>
      <c r="Y274" t="s">
        <v>55</v>
      </c>
      <c r="Z274" t="s">
        <v>56</v>
      </c>
      <c r="AA274" t="s">
        <v>57</v>
      </c>
      <c r="AB274" t="s">
        <v>58</v>
      </c>
      <c r="AC274">
        <v>22</v>
      </c>
      <c r="AD274" t="s">
        <v>95</v>
      </c>
      <c r="AE274" t="s">
        <v>73</v>
      </c>
      <c r="AF274">
        <v>4.3600000000000003</v>
      </c>
      <c r="AG274">
        <v>5</v>
      </c>
      <c r="AH274">
        <v>0</v>
      </c>
      <c r="AI274" t="s">
        <v>352</v>
      </c>
      <c r="AJ274">
        <v>0</v>
      </c>
      <c r="AK274">
        <v>10</v>
      </c>
    </row>
    <row r="275" spans="1:37">
      <c r="A275" t="s">
        <v>1002</v>
      </c>
      <c r="B275">
        <v>10209</v>
      </c>
      <c r="C275">
        <v>0</v>
      </c>
      <c r="D275">
        <v>0</v>
      </c>
      <c r="E275">
        <v>0</v>
      </c>
      <c r="F275">
        <v>1</v>
      </c>
      <c r="G275">
        <v>5</v>
      </c>
      <c r="H275">
        <v>3</v>
      </c>
      <c r="I275">
        <v>0</v>
      </c>
      <c r="J275">
        <v>59238</v>
      </c>
      <c r="K275">
        <v>0</v>
      </c>
      <c r="L275">
        <v>19</v>
      </c>
      <c r="M275" t="s">
        <v>46</v>
      </c>
      <c r="N275" t="s">
        <v>47</v>
      </c>
      <c r="O275">
        <v>2718</v>
      </c>
      <c r="P275" t="s">
        <v>1003</v>
      </c>
      <c r="Q275" t="s">
        <v>78</v>
      </c>
      <c r="R275" t="s">
        <v>50</v>
      </c>
      <c r="S275" t="s">
        <v>171</v>
      </c>
      <c r="T275" t="s">
        <v>52</v>
      </c>
      <c r="U275" t="s">
        <v>182</v>
      </c>
      <c r="V275" t="s">
        <v>291</v>
      </c>
      <c r="Y275" t="s">
        <v>55</v>
      </c>
      <c r="Z275" t="s">
        <v>56</v>
      </c>
      <c r="AA275" t="s">
        <v>57</v>
      </c>
      <c r="AB275" t="s">
        <v>86</v>
      </c>
      <c r="AC275">
        <v>16</v>
      </c>
      <c r="AD275" t="s">
        <v>72</v>
      </c>
      <c r="AE275" t="s">
        <v>73</v>
      </c>
      <c r="AF275">
        <v>3.4</v>
      </c>
      <c r="AG275">
        <v>5</v>
      </c>
      <c r="AH275">
        <v>0</v>
      </c>
      <c r="AI275" t="s">
        <v>364</v>
      </c>
      <c r="AJ275">
        <v>0</v>
      </c>
      <c r="AK275">
        <v>13</v>
      </c>
    </row>
    <row r="276" spans="1:37">
      <c r="A276" t="s">
        <v>1004</v>
      </c>
      <c r="B276">
        <v>10024</v>
      </c>
      <c r="C276">
        <v>0</v>
      </c>
      <c r="D276">
        <v>0</v>
      </c>
      <c r="E276">
        <v>1</v>
      </c>
      <c r="F276">
        <v>1</v>
      </c>
      <c r="G276">
        <v>4</v>
      </c>
      <c r="H276">
        <v>4</v>
      </c>
      <c r="I276">
        <v>0</v>
      </c>
      <c r="J276">
        <v>92989</v>
      </c>
      <c r="K276">
        <v>0</v>
      </c>
      <c r="L276">
        <v>24</v>
      </c>
      <c r="M276" t="s">
        <v>103</v>
      </c>
      <c r="N276" t="s">
        <v>47</v>
      </c>
      <c r="O276">
        <v>2140</v>
      </c>
      <c r="P276" t="s">
        <v>1005</v>
      </c>
      <c r="Q276" t="s">
        <v>49</v>
      </c>
      <c r="R276" t="s">
        <v>50</v>
      </c>
      <c r="S276" t="s">
        <v>51</v>
      </c>
      <c r="T276" t="s">
        <v>52</v>
      </c>
      <c r="U276" t="s">
        <v>53</v>
      </c>
      <c r="V276" t="s">
        <v>176</v>
      </c>
      <c r="Y276" t="s">
        <v>55</v>
      </c>
      <c r="Z276" t="s">
        <v>56</v>
      </c>
      <c r="AA276" t="s">
        <v>106</v>
      </c>
      <c r="AB276" t="s">
        <v>107</v>
      </c>
      <c r="AC276">
        <v>10</v>
      </c>
      <c r="AD276" t="s">
        <v>59</v>
      </c>
      <c r="AE276" t="s">
        <v>60</v>
      </c>
      <c r="AF276">
        <v>4.5</v>
      </c>
      <c r="AG276">
        <v>5</v>
      </c>
      <c r="AH276">
        <v>5</v>
      </c>
      <c r="AI276" t="s">
        <v>128</v>
      </c>
      <c r="AJ276">
        <v>0</v>
      </c>
      <c r="AK276">
        <v>1</v>
      </c>
    </row>
    <row r="277" spans="1:37">
      <c r="A277" t="s">
        <v>1006</v>
      </c>
      <c r="B277">
        <v>10173</v>
      </c>
      <c r="C277">
        <v>1</v>
      </c>
      <c r="D277">
        <v>1</v>
      </c>
      <c r="E277">
        <v>1</v>
      </c>
      <c r="F277">
        <v>1</v>
      </c>
      <c r="G277">
        <v>3</v>
      </c>
      <c r="H277">
        <v>3</v>
      </c>
      <c r="I277">
        <v>0</v>
      </c>
      <c r="J277">
        <v>90100</v>
      </c>
      <c r="K277">
        <v>0</v>
      </c>
      <c r="L277">
        <v>4</v>
      </c>
      <c r="M277" t="s">
        <v>383</v>
      </c>
      <c r="N277" t="s">
        <v>47</v>
      </c>
      <c r="O277">
        <v>2134</v>
      </c>
      <c r="P277" t="s">
        <v>1007</v>
      </c>
      <c r="Q277" t="s">
        <v>49</v>
      </c>
      <c r="R277" t="s">
        <v>65</v>
      </c>
      <c r="S277" t="s">
        <v>51</v>
      </c>
      <c r="T277" t="s">
        <v>52</v>
      </c>
      <c r="U277" t="s">
        <v>53</v>
      </c>
      <c r="V277" t="s">
        <v>548</v>
      </c>
      <c r="Y277" t="s">
        <v>55</v>
      </c>
      <c r="Z277" t="s">
        <v>56</v>
      </c>
      <c r="AA277" t="s">
        <v>70</v>
      </c>
      <c r="AB277" t="s">
        <v>386</v>
      </c>
      <c r="AC277">
        <v>13</v>
      </c>
      <c r="AD277" t="s">
        <v>72</v>
      </c>
      <c r="AE277" t="s">
        <v>73</v>
      </c>
      <c r="AF277">
        <v>3.4</v>
      </c>
      <c r="AG277">
        <v>3</v>
      </c>
      <c r="AH277">
        <v>6</v>
      </c>
      <c r="AI277" t="s">
        <v>108</v>
      </c>
      <c r="AJ277">
        <v>0</v>
      </c>
      <c r="AK277">
        <v>14</v>
      </c>
    </row>
    <row r="278" spans="1:37">
      <c r="A278" t="s">
        <v>1008</v>
      </c>
      <c r="B278">
        <v>10221</v>
      </c>
      <c r="C278">
        <v>1</v>
      </c>
      <c r="D278">
        <v>1</v>
      </c>
      <c r="E278">
        <v>0</v>
      </c>
      <c r="F278">
        <v>5</v>
      </c>
      <c r="G278">
        <v>5</v>
      </c>
      <c r="H278">
        <v>3</v>
      </c>
      <c r="I278">
        <v>1</v>
      </c>
      <c r="J278">
        <v>60754</v>
      </c>
      <c r="K278">
        <v>1</v>
      </c>
      <c r="L278">
        <v>19</v>
      </c>
      <c r="M278" t="s">
        <v>46</v>
      </c>
      <c r="N278" t="s">
        <v>47</v>
      </c>
      <c r="O278">
        <v>1801</v>
      </c>
      <c r="P278" t="s">
        <v>1009</v>
      </c>
      <c r="Q278" t="s">
        <v>78</v>
      </c>
      <c r="R278" t="s">
        <v>65</v>
      </c>
      <c r="S278" t="s">
        <v>302</v>
      </c>
      <c r="T278" t="s">
        <v>52</v>
      </c>
      <c r="U278" t="s">
        <v>118</v>
      </c>
      <c r="V278" t="s">
        <v>1010</v>
      </c>
      <c r="X278" t="s">
        <v>601</v>
      </c>
      <c r="Y278" t="s">
        <v>134</v>
      </c>
      <c r="Z278" t="s">
        <v>69</v>
      </c>
      <c r="AA278" t="s">
        <v>57</v>
      </c>
      <c r="AB278" t="s">
        <v>94</v>
      </c>
      <c r="AC278">
        <v>39</v>
      </c>
      <c r="AD278" t="s">
        <v>121</v>
      </c>
      <c r="AE278" t="s">
        <v>73</v>
      </c>
      <c r="AF278">
        <v>4.5</v>
      </c>
      <c r="AG278">
        <v>5</v>
      </c>
      <c r="AH278">
        <v>0</v>
      </c>
      <c r="AI278" t="s">
        <v>761</v>
      </c>
      <c r="AJ278">
        <v>0</v>
      </c>
      <c r="AK278">
        <v>11</v>
      </c>
    </row>
    <row r="279" spans="1:37">
      <c r="A279" t="s">
        <v>1011</v>
      </c>
      <c r="B279">
        <v>10146</v>
      </c>
      <c r="C279">
        <v>1</v>
      </c>
      <c r="D279">
        <v>1</v>
      </c>
      <c r="E279">
        <v>0</v>
      </c>
      <c r="F279">
        <v>5</v>
      </c>
      <c r="G279">
        <v>5</v>
      </c>
      <c r="H279">
        <v>3</v>
      </c>
      <c r="I279">
        <v>0</v>
      </c>
      <c r="J279">
        <v>72202</v>
      </c>
      <c r="K279">
        <v>1</v>
      </c>
      <c r="L279">
        <v>20</v>
      </c>
      <c r="M279" t="s">
        <v>76</v>
      </c>
      <c r="N279" t="s">
        <v>47</v>
      </c>
      <c r="O279">
        <v>2129</v>
      </c>
      <c r="P279" t="s">
        <v>1012</v>
      </c>
      <c r="Q279" t="s">
        <v>78</v>
      </c>
      <c r="R279" t="s">
        <v>65</v>
      </c>
      <c r="S279" t="s">
        <v>51</v>
      </c>
      <c r="T279" t="s">
        <v>52</v>
      </c>
      <c r="U279" t="s">
        <v>53</v>
      </c>
      <c r="V279" t="s">
        <v>310</v>
      </c>
      <c r="X279" t="s">
        <v>1013</v>
      </c>
      <c r="Y279" t="s">
        <v>134</v>
      </c>
      <c r="Z279" t="s">
        <v>69</v>
      </c>
      <c r="AA279" t="s">
        <v>57</v>
      </c>
      <c r="AB279" t="s">
        <v>86</v>
      </c>
      <c r="AC279">
        <v>16</v>
      </c>
      <c r="AD279" t="s">
        <v>95</v>
      </c>
      <c r="AE279" t="s">
        <v>73</v>
      </c>
      <c r="AF279">
        <v>3.93</v>
      </c>
      <c r="AG279">
        <v>3</v>
      </c>
      <c r="AH279">
        <v>0</v>
      </c>
      <c r="AI279" t="s">
        <v>1014</v>
      </c>
      <c r="AJ279">
        <v>0</v>
      </c>
      <c r="AK279">
        <v>3</v>
      </c>
    </row>
    <row r="280" spans="1:37">
      <c r="A280" t="s">
        <v>1015</v>
      </c>
      <c r="B280">
        <v>10161</v>
      </c>
      <c r="C280">
        <v>0</v>
      </c>
      <c r="D280">
        <v>0</v>
      </c>
      <c r="E280">
        <v>0</v>
      </c>
      <c r="F280">
        <v>1</v>
      </c>
      <c r="G280">
        <v>6</v>
      </c>
      <c r="H280">
        <v>3</v>
      </c>
      <c r="I280">
        <v>0</v>
      </c>
      <c r="J280">
        <v>58370</v>
      </c>
      <c r="K280">
        <v>0</v>
      </c>
      <c r="L280">
        <v>3</v>
      </c>
      <c r="M280" t="s">
        <v>242</v>
      </c>
      <c r="N280" t="s">
        <v>1016</v>
      </c>
      <c r="O280">
        <v>97756</v>
      </c>
      <c r="P280" t="s">
        <v>1017</v>
      </c>
      <c r="Q280" t="s">
        <v>78</v>
      </c>
      <c r="R280" t="s">
        <v>50</v>
      </c>
      <c r="S280" t="s">
        <v>51</v>
      </c>
      <c r="T280" t="s">
        <v>52</v>
      </c>
      <c r="U280" t="s">
        <v>118</v>
      </c>
      <c r="V280" t="s">
        <v>234</v>
      </c>
      <c r="Y280" t="s">
        <v>55</v>
      </c>
      <c r="Z280" t="s">
        <v>56</v>
      </c>
      <c r="AA280" t="s">
        <v>247</v>
      </c>
      <c r="AB280" t="s">
        <v>292</v>
      </c>
      <c r="AC280">
        <v>21</v>
      </c>
      <c r="AD280" t="s">
        <v>72</v>
      </c>
      <c r="AE280" t="s">
        <v>73</v>
      </c>
      <c r="AF280">
        <v>3.69</v>
      </c>
      <c r="AG280">
        <v>3</v>
      </c>
      <c r="AH280">
        <v>0</v>
      </c>
      <c r="AI280" t="s">
        <v>343</v>
      </c>
      <c r="AJ280">
        <v>0</v>
      </c>
      <c r="AK280">
        <v>18</v>
      </c>
    </row>
    <row r="281" spans="1:37">
      <c r="A281" t="s">
        <v>1018</v>
      </c>
      <c r="B281">
        <v>10141</v>
      </c>
      <c r="C281">
        <v>0</v>
      </c>
      <c r="D281">
        <v>0</v>
      </c>
      <c r="E281">
        <v>0</v>
      </c>
      <c r="F281">
        <v>5</v>
      </c>
      <c r="G281">
        <v>5</v>
      </c>
      <c r="H281">
        <v>3</v>
      </c>
      <c r="I281">
        <v>0</v>
      </c>
      <c r="J281">
        <v>48413</v>
      </c>
      <c r="K281">
        <v>1</v>
      </c>
      <c r="L281">
        <v>19</v>
      </c>
      <c r="M281" t="s">
        <v>46</v>
      </c>
      <c r="N281" t="s">
        <v>47</v>
      </c>
      <c r="O281">
        <v>2066</v>
      </c>
      <c r="P281" t="s">
        <v>1019</v>
      </c>
      <c r="Q281" t="s">
        <v>78</v>
      </c>
      <c r="R281" t="s">
        <v>50</v>
      </c>
      <c r="S281" t="s">
        <v>51</v>
      </c>
      <c r="T281" t="s">
        <v>52</v>
      </c>
      <c r="U281" t="s">
        <v>53</v>
      </c>
      <c r="V281" t="s">
        <v>54</v>
      </c>
      <c r="X281" t="s">
        <v>1020</v>
      </c>
      <c r="Y281" t="s">
        <v>93</v>
      </c>
      <c r="Z281" t="s">
        <v>69</v>
      </c>
      <c r="AA281" t="s">
        <v>57</v>
      </c>
      <c r="AB281" t="s">
        <v>100</v>
      </c>
      <c r="AC281">
        <v>11</v>
      </c>
      <c r="AD281" t="s">
        <v>72</v>
      </c>
      <c r="AE281" t="s">
        <v>73</v>
      </c>
      <c r="AF281">
        <v>3.98</v>
      </c>
      <c r="AG281">
        <v>4</v>
      </c>
      <c r="AH281">
        <v>0</v>
      </c>
      <c r="AI281" t="s">
        <v>1021</v>
      </c>
      <c r="AJ281">
        <v>0</v>
      </c>
      <c r="AK281">
        <v>1</v>
      </c>
    </row>
    <row r="282" spans="1:37">
      <c r="A282" t="s">
        <v>1022</v>
      </c>
      <c r="B282">
        <v>10268</v>
      </c>
      <c r="C282">
        <v>0</v>
      </c>
      <c r="D282">
        <v>4</v>
      </c>
      <c r="E282">
        <v>1</v>
      </c>
      <c r="F282">
        <v>5</v>
      </c>
      <c r="G282">
        <v>5</v>
      </c>
      <c r="H282">
        <v>3</v>
      </c>
      <c r="I282">
        <v>0</v>
      </c>
      <c r="J282">
        <v>67176</v>
      </c>
      <c r="K282">
        <v>1</v>
      </c>
      <c r="L282">
        <v>20</v>
      </c>
      <c r="M282" t="s">
        <v>76</v>
      </c>
      <c r="N282" t="s">
        <v>47</v>
      </c>
      <c r="O282">
        <v>2472</v>
      </c>
      <c r="P282" t="s">
        <v>1023</v>
      </c>
      <c r="Q282" t="s">
        <v>49</v>
      </c>
      <c r="R282" t="s">
        <v>111</v>
      </c>
      <c r="S282" t="s">
        <v>51</v>
      </c>
      <c r="T282" t="s">
        <v>52</v>
      </c>
      <c r="U282" t="s">
        <v>53</v>
      </c>
      <c r="V282" t="s">
        <v>1024</v>
      </c>
      <c r="X282" t="s">
        <v>315</v>
      </c>
      <c r="Y282" t="s">
        <v>420</v>
      </c>
      <c r="Z282" t="s">
        <v>69</v>
      </c>
      <c r="AA282" t="s">
        <v>57</v>
      </c>
      <c r="AB282" t="s">
        <v>94</v>
      </c>
      <c r="AC282">
        <v>39</v>
      </c>
      <c r="AD282" t="s">
        <v>479</v>
      </c>
      <c r="AE282" t="s">
        <v>73</v>
      </c>
      <c r="AF282">
        <v>4.0999999999999996</v>
      </c>
      <c r="AG282">
        <v>4</v>
      </c>
      <c r="AH282">
        <v>0</v>
      </c>
      <c r="AI282" t="s">
        <v>1025</v>
      </c>
      <c r="AJ282">
        <v>0</v>
      </c>
      <c r="AK282">
        <v>15</v>
      </c>
    </row>
    <row r="283" spans="1:37">
      <c r="A283" t="s">
        <v>1026</v>
      </c>
      <c r="B283">
        <v>10123</v>
      </c>
      <c r="C283">
        <v>0</v>
      </c>
      <c r="D283">
        <v>2</v>
      </c>
      <c r="E283">
        <v>0</v>
      </c>
      <c r="F283">
        <v>1</v>
      </c>
      <c r="G283">
        <v>5</v>
      </c>
      <c r="H283">
        <v>3</v>
      </c>
      <c r="I283">
        <v>0</v>
      </c>
      <c r="J283">
        <v>56339</v>
      </c>
      <c r="K283">
        <v>0</v>
      </c>
      <c r="L283">
        <v>19</v>
      </c>
      <c r="M283" t="s">
        <v>46</v>
      </c>
      <c r="N283" t="s">
        <v>47</v>
      </c>
      <c r="O283">
        <v>2093</v>
      </c>
      <c r="P283" t="s">
        <v>1027</v>
      </c>
      <c r="Q283" t="s">
        <v>78</v>
      </c>
      <c r="R283" t="s">
        <v>90</v>
      </c>
      <c r="S283" t="s">
        <v>51</v>
      </c>
      <c r="T283" t="s">
        <v>52</v>
      </c>
      <c r="U283" t="s">
        <v>118</v>
      </c>
      <c r="V283" t="s">
        <v>1028</v>
      </c>
      <c r="Y283" t="s">
        <v>55</v>
      </c>
      <c r="Z283" t="s">
        <v>56</v>
      </c>
      <c r="AA283" t="s">
        <v>57</v>
      </c>
      <c r="AB283" t="s">
        <v>120</v>
      </c>
      <c r="AC283">
        <v>12</v>
      </c>
      <c r="AD283" t="s">
        <v>72</v>
      </c>
      <c r="AE283" t="s">
        <v>73</v>
      </c>
      <c r="AF283">
        <v>4.21</v>
      </c>
      <c r="AG283">
        <v>5</v>
      </c>
      <c r="AH283">
        <v>0</v>
      </c>
      <c r="AI283" t="s">
        <v>168</v>
      </c>
      <c r="AJ283">
        <v>0</v>
      </c>
      <c r="AK283">
        <v>4</v>
      </c>
    </row>
    <row r="284" spans="1:37">
      <c r="A284" t="s">
        <v>1029</v>
      </c>
      <c r="B284">
        <v>10013</v>
      </c>
      <c r="C284">
        <v>0</v>
      </c>
      <c r="D284">
        <v>3</v>
      </c>
      <c r="E284">
        <v>1</v>
      </c>
      <c r="F284">
        <v>1</v>
      </c>
      <c r="G284">
        <v>6</v>
      </c>
      <c r="H284">
        <v>4</v>
      </c>
      <c r="I284">
        <v>0</v>
      </c>
      <c r="J284">
        <v>64397</v>
      </c>
      <c r="K284">
        <v>0</v>
      </c>
      <c r="L284">
        <v>3</v>
      </c>
      <c r="M284" t="s">
        <v>242</v>
      </c>
      <c r="N284" t="s">
        <v>1030</v>
      </c>
      <c r="O284">
        <v>58782</v>
      </c>
      <c r="P284" t="s">
        <v>1031</v>
      </c>
      <c r="Q284" t="s">
        <v>49</v>
      </c>
      <c r="R284" t="s">
        <v>238</v>
      </c>
      <c r="S284" t="s">
        <v>51</v>
      </c>
      <c r="T284" t="s">
        <v>52</v>
      </c>
      <c r="U284" t="s">
        <v>53</v>
      </c>
      <c r="V284" t="s">
        <v>1032</v>
      </c>
      <c r="Y284" t="s">
        <v>55</v>
      </c>
      <c r="Z284" t="s">
        <v>56</v>
      </c>
      <c r="AA284" t="s">
        <v>247</v>
      </c>
      <c r="AB284" t="s">
        <v>292</v>
      </c>
      <c r="AC284">
        <v>21</v>
      </c>
      <c r="AD284" t="s">
        <v>72</v>
      </c>
      <c r="AE284" t="s">
        <v>60</v>
      </c>
      <c r="AF284">
        <v>4.0999999999999996</v>
      </c>
      <c r="AG284">
        <v>3</v>
      </c>
      <c r="AH284">
        <v>0</v>
      </c>
      <c r="AI284" t="s">
        <v>406</v>
      </c>
      <c r="AJ284">
        <v>0</v>
      </c>
      <c r="AK284">
        <v>6</v>
      </c>
    </row>
    <row r="285" spans="1:37">
      <c r="A285" t="s">
        <v>1033</v>
      </c>
      <c r="B285">
        <v>10287</v>
      </c>
      <c r="C285">
        <v>0</v>
      </c>
      <c r="D285">
        <v>0</v>
      </c>
      <c r="E285">
        <v>0</v>
      </c>
      <c r="F285">
        <v>1</v>
      </c>
      <c r="G285">
        <v>5</v>
      </c>
      <c r="H285">
        <v>2</v>
      </c>
      <c r="I285">
        <v>0</v>
      </c>
      <c r="J285">
        <v>63025</v>
      </c>
      <c r="K285">
        <v>0</v>
      </c>
      <c r="L285">
        <v>19</v>
      </c>
      <c r="M285" t="s">
        <v>46</v>
      </c>
      <c r="N285" t="s">
        <v>47</v>
      </c>
      <c r="O285">
        <v>2021</v>
      </c>
      <c r="P285" t="s">
        <v>1034</v>
      </c>
      <c r="Q285" t="s">
        <v>78</v>
      </c>
      <c r="R285" t="s">
        <v>50</v>
      </c>
      <c r="S285" t="s">
        <v>51</v>
      </c>
      <c r="T285" t="s">
        <v>52</v>
      </c>
      <c r="U285" t="s">
        <v>53</v>
      </c>
      <c r="V285" t="s">
        <v>206</v>
      </c>
      <c r="Y285" t="s">
        <v>55</v>
      </c>
      <c r="Z285" t="s">
        <v>56</v>
      </c>
      <c r="AA285" t="s">
        <v>57</v>
      </c>
      <c r="AB285" t="s">
        <v>135</v>
      </c>
      <c r="AC285">
        <v>14</v>
      </c>
      <c r="AD285" t="s">
        <v>59</v>
      </c>
      <c r="AE285" t="s">
        <v>197</v>
      </c>
      <c r="AF285">
        <v>2.44</v>
      </c>
      <c r="AG285">
        <v>5</v>
      </c>
      <c r="AH285">
        <v>0</v>
      </c>
      <c r="AI285" t="s">
        <v>570</v>
      </c>
      <c r="AJ285">
        <v>4</v>
      </c>
      <c r="AK285">
        <v>18</v>
      </c>
    </row>
    <row r="286" spans="1:37">
      <c r="A286" t="s">
        <v>1035</v>
      </c>
      <c r="B286">
        <v>10044</v>
      </c>
      <c r="C286">
        <v>1</v>
      </c>
      <c r="D286">
        <v>1</v>
      </c>
      <c r="E286">
        <v>1</v>
      </c>
      <c r="F286">
        <v>5</v>
      </c>
      <c r="G286">
        <v>3</v>
      </c>
      <c r="H286">
        <v>3</v>
      </c>
      <c r="I286">
        <v>0</v>
      </c>
      <c r="J286">
        <v>75281</v>
      </c>
      <c r="K286">
        <v>1</v>
      </c>
      <c r="L286">
        <v>15</v>
      </c>
      <c r="M286" t="s">
        <v>455</v>
      </c>
      <c r="N286" t="s">
        <v>47</v>
      </c>
      <c r="O286">
        <v>1420</v>
      </c>
      <c r="P286" t="s">
        <v>1036</v>
      </c>
      <c r="Q286" t="s">
        <v>49</v>
      </c>
      <c r="R286" t="s">
        <v>65</v>
      </c>
      <c r="S286" t="s">
        <v>51</v>
      </c>
      <c r="T286" t="s">
        <v>52</v>
      </c>
      <c r="U286" t="s">
        <v>53</v>
      </c>
      <c r="V286" t="s">
        <v>126</v>
      </c>
      <c r="X286" t="s">
        <v>1037</v>
      </c>
      <c r="Y286" t="s">
        <v>834</v>
      </c>
      <c r="Z286" t="s">
        <v>69</v>
      </c>
      <c r="AA286" t="s">
        <v>70</v>
      </c>
      <c r="AB286" t="s">
        <v>127</v>
      </c>
      <c r="AC286">
        <v>7</v>
      </c>
      <c r="AD286" t="s">
        <v>196</v>
      </c>
      <c r="AE286" t="s">
        <v>73</v>
      </c>
      <c r="AF286">
        <v>5</v>
      </c>
      <c r="AG286">
        <v>3</v>
      </c>
      <c r="AH286">
        <v>5</v>
      </c>
      <c r="AI286" t="s">
        <v>590</v>
      </c>
      <c r="AJ286">
        <v>0</v>
      </c>
      <c r="AK286">
        <v>11</v>
      </c>
    </row>
    <row r="287" spans="1:37">
      <c r="A287" t="s">
        <v>1038</v>
      </c>
      <c r="B287">
        <v>10102</v>
      </c>
      <c r="C287">
        <v>0</v>
      </c>
      <c r="D287">
        <v>0</v>
      </c>
      <c r="E287">
        <v>1</v>
      </c>
      <c r="F287">
        <v>5</v>
      </c>
      <c r="G287">
        <v>4</v>
      </c>
      <c r="H287">
        <v>3</v>
      </c>
      <c r="I287">
        <v>1</v>
      </c>
      <c r="J287">
        <v>100416</v>
      </c>
      <c r="K287">
        <v>1</v>
      </c>
      <c r="L287">
        <v>24</v>
      </c>
      <c r="M287" t="s">
        <v>103</v>
      </c>
      <c r="N287" t="s">
        <v>47</v>
      </c>
      <c r="O287">
        <v>2451</v>
      </c>
      <c r="P287" t="s">
        <v>1039</v>
      </c>
      <c r="Q287" t="s">
        <v>49</v>
      </c>
      <c r="R287" t="s">
        <v>50</v>
      </c>
      <c r="S287" t="s">
        <v>302</v>
      </c>
      <c r="T287" t="s">
        <v>52</v>
      </c>
      <c r="U287" t="s">
        <v>118</v>
      </c>
      <c r="V287" t="s">
        <v>1028</v>
      </c>
      <c r="X287" t="s">
        <v>1040</v>
      </c>
      <c r="Y287" t="s">
        <v>834</v>
      </c>
      <c r="Z287" t="s">
        <v>69</v>
      </c>
      <c r="AA287" t="s">
        <v>106</v>
      </c>
      <c r="AB287" t="s">
        <v>107</v>
      </c>
      <c r="AC287">
        <v>10</v>
      </c>
      <c r="AD287" t="s">
        <v>121</v>
      </c>
      <c r="AE287" t="s">
        <v>73</v>
      </c>
      <c r="AF287">
        <v>4.5999999999999996</v>
      </c>
      <c r="AG287">
        <v>3</v>
      </c>
      <c r="AH287">
        <v>4</v>
      </c>
      <c r="AI287" t="s">
        <v>1041</v>
      </c>
      <c r="AJ287">
        <v>0</v>
      </c>
      <c r="AK287">
        <v>9</v>
      </c>
    </row>
    <row r="288" spans="1:37">
      <c r="A288" t="s">
        <v>1042</v>
      </c>
      <c r="B288">
        <v>10270</v>
      </c>
      <c r="C288">
        <v>0</v>
      </c>
      <c r="D288">
        <v>0</v>
      </c>
      <c r="E288">
        <v>0</v>
      </c>
      <c r="F288">
        <v>5</v>
      </c>
      <c r="G288">
        <v>5</v>
      </c>
      <c r="H288">
        <v>3</v>
      </c>
      <c r="I288">
        <v>0</v>
      </c>
      <c r="J288">
        <v>74813</v>
      </c>
      <c r="K288">
        <v>1</v>
      </c>
      <c r="L288">
        <v>20</v>
      </c>
      <c r="M288" t="s">
        <v>76</v>
      </c>
      <c r="N288" t="s">
        <v>47</v>
      </c>
      <c r="O288">
        <v>1778</v>
      </c>
      <c r="P288" t="s">
        <v>1043</v>
      </c>
      <c r="Q288" t="s">
        <v>78</v>
      </c>
      <c r="R288" t="s">
        <v>50</v>
      </c>
      <c r="S288" t="s">
        <v>51</v>
      </c>
      <c r="T288" t="s">
        <v>52</v>
      </c>
      <c r="U288" t="s">
        <v>53</v>
      </c>
      <c r="V288" t="s">
        <v>132</v>
      </c>
      <c r="X288" t="s">
        <v>1044</v>
      </c>
      <c r="Y288" t="s">
        <v>141</v>
      </c>
      <c r="Z288" t="s">
        <v>69</v>
      </c>
      <c r="AA288" t="s">
        <v>57</v>
      </c>
      <c r="AB288" t="s">
        <v>100</v>
      </c>
      <c r="AC288">
        <v>11</v>
      </c>
      <c r="AD288" t="s">
        <v>59</v>
      </c>
      <c r="AE288" t="s">
        <v>73</v>
      </c>
      <c r="AF288">
        <v>4.4000000000000004</v>
      </c>
      <c r="AG288">
        <v>3</v>
      </c>
      <c r="AH288">
        <v>0</v>
      </c>
      <c r="AI288" t="s">
        <v>405</v>
      </c>
      <c r="AJ288">
        <v>0</v>
      </c>
      <c r="AK288">
        <v>5</v>
      </c>
    </row>
    <row r="289" spans="1:37">
      <c r="A289" t="s">
        <v>1045</v>
      </c>
      <c r="B289">
        <v>10045</v>
      </c>
      <c r="C289">
        <v>1</v>
      </c>
      <c r="D289">
        <v>1</v>
      </c>
      <c r="E289">
        <v>1</v>
      </c>
      <c r="F289">
        <v>1</v>
      </c>
      <c r="G289">
        <v>3</v>
      </c>
      <c r="H289">
        <v>3</v>
      </c>
      <c r="I289">
        <v>0</v>
      </c>
      <c r="J289">
        <v>76029</v>
      </c>
      <c r="K289">
        <v>0</v>
      </c>
      <c r="L289">
        <v>15</v>
      </c>
      <c r="M289" t="s">
        <v>455</v>
      </c>
      <c r="N289" t="s">
        <v>47</v>
      </c>
      <c r="O289">
        <v>2343</v>
      </c>
      <c r="P289" t="s">
        <v>1046</v>
      </c>
      <c r="Q289" t="s">
        <v>49</v>
      </c>
      <c r="R289" t="s">
        <v>65</v>
      </c>
      <c r="S289" t="s">
        <v>171</v>
      </c>
      <c r="T289" t="s">
        <v>52</v>
      </c>
      <c r="U289" t="s">
        <v>53</v>
      </c>
      <c r="V289" t="s">
        <v>66</v>
      </c>
      <c r="Y289" t="s">
        <v>55</v>
      </c>
      <c r="Z289" t="s">
        <v>56</v>
      </c>
      <c r="AA289" t="s">
        <v>70</v>
      </c>
      <c r="AB289" t="s">
        <v>127</v>
      </c>
      <c r="AC289">
        <v>7</v>
      </c>
      <c r="AD289" t="s">
        <v>114</v>
      </c>
      <c r="AE289" t="s">
        <v>73</v>
      </c>
      <c r="AF289">
        <v>5</v>
      </c>
      <c r="AG289">
        <v>4</v>
      </c>
      <c r="AH289">
        <v>7</v>
      </c>
      <c r="AI289" t="s">
        <v>168</v>
      </c>
      <c r="AJ289">
        <v>0</v>
      </c>
      <c r="AK289">
        <v>8</v>
      </c>
    </row>
    <row r="290" spans="1:37">
      <c r="A290" t="s">
        <v>1047</v>
      </c>
      <c r="B290">
        <v>10205</v>
      </c>
      <c r="C290">
        <v>1</v>
      </c>
      <c r="D290">
        <v>1</v>
      </c>
      <c r="E290">
        <v>0</v>
      </c>
      <c r="F290">
        <v>1</v>
      </c>
      <c r="G290">
        <v>6</v>
      </c>
      <c r="H290">
        <v>3</v>
      </c>
      <c r="I290">
        <v>0</v>
      </c>
      <c r="J290">
        <v>57859</v>
      </c>
      <c r="K290">
        <v>0</v>
      </c>
      <c r="L290">
        <v>3</v>
      </c>
      <c r="M290" t="s">
        <v>242</v>
      </c>
      <c r="N290" t="s">
        <v>1048</v>
      </c>
      <c r="O290">
        <v>85006</v>
      </c>
      <c r="P290" t="s">
        <v>1049</v>
      </c>
      <c r="Q290" t="s">
        <v>78</v>
      </c>
      <c r="R290" t="s">
        <v>65</v>
      </c>
      <c r="S290" t="s">
        <v>51</v>
      </c>
      <c r="T290" t="s">
        <v>52</v>
      </c>
      <c r="U290" t="s">
        <v>149</v>
      </c>
      <c r="V290" t="s">
        <v>54</v>
      </c>
      <c r="Y290" t="s">
        <v>55</v>
      </c>
      <c r="Z290" t="s">
        <v>56</v>
      </c>
      <c r="AA290" t="s">
        <v>247</v>
      </c>
      <c r="AB290" t="s">
        <v>248</v>
      </c>
      <c r="AC290">
        <v>17</v>
      </c>
      <c r="AD290" t="s">
        <v>72</v>
      </c>
      <c r="AE290" t="s">
        <v>73</v>
      </c>
      <c r="AF290">
        <v>2.81</v>
      </c>
      <c r="AG290">
        <v>3</v>
      </c>
      <c r="AH290">
        <v>0</v>
      </c>
      <c r="AI290" t="s">
        <v>61</v>
      </c>
      <c r="AJ290">
        <v>0</v>
      </c>
      <c r="AK290">
        <v>16</v>
      </c>
    </row>
    <row r="291" spans="1:37">
      <c r="A291" t="s">
        <v>1050</v>
      </c>
      <c r="B291">
        <v>10014</v>
      </c>
      <c r="C291">
        <v>0</v>
      </c>
      <c r="D291">
        <v>2</v>
      </c>
      <c r="E291">
        <v>1</v>
      </c>
      <c r="F291">
        <v>5</v>
      </c>
      <c r="G291">
        <v>5</v>
      </c>
      <c r="H291">
        <v>4</v>
      </c>
      <c r="I291">
        <v>0</v>
      </c>
      <c r="J291">
        <v>58523</v>
      </c>
      <c r="K291">
        <v>1</v>
      </c>
      <c r="L291">
        <v>19</v>
      </c>
      <c r="M291" t="s">
        <v>46</v>
      </c>
      <c r="N291" t="s">
        <v>47</v>
      </c>
      <c r="O291">
        <v>2171</v>
      </c>
      <c r="P291" t="s">
        <v>1051</v>
      </c>
      <c r="Q291" t="s">
        <v>49</v>
      </c>
      <c r="R291" t="s">
        <v>90</v>
      </c>
      <c r="S291" t="s">
        <v>51</v>
      </c>
      <c r="T291" t="s">
        <v>52</v>
      </c>
      <c r="U291" t="s">
        <v>53</v>
      </c>
      <c r="V291" t="s">
        <v>569</v>
      </c>
      <c r="X291" t="s">
        <v>745</v>
      </c>
      <c r="Y291" t="s">
        <v>633</v>
      </c>
      <c r="Z291" t="s">
        <v>69</v>
      </c>
      <c r="AA291" t="s">
        <v>57</v>
      </c>
      <c r="AB291" t="s">
        <v>81</v>
      </c>
      <c r="AC291">
        <v>20</v>
      </c>
      <c r="AD291" t="s">
        <v>59</v>
      </c>
      <c r="AE291" t="s">
        <v>60</v>
      </c>
      <c r="AF291">
        <v>4.5</v>
      </c>
      <c r="AG291">
        <v>5</v>
      </c>
      <c r="AH291">
        <v>0</v>
      </c>
      <c r="AI291" t="s">
        <v>96</v>
      </c>
      <c r="AJ291">
        <v>0</v>
      </c>
      <c r="AK291">
        <v>15</v>
      </c>
    </row>
    <row r="292" spans="1:37">
      <c r="A292" t="s">
        <v>1052</v>
      </c>
      <c r="B292">
        <v>10144</v>
      </c>
      <c r="C292">
        <v>0</v>
      </c>
      <c r="D292">
        <v>2</v>
      </c>
      <c r="E292">
        <v>1</v>
      </c>
      <c r="F292">
        <v>1</v>
      </c>
      <c r="G292">
        <v>5</v>
      </c>
      <c r="H292">
        <v>3</v>
      </c>
      <c r="I292">
        <v>0</v>
      </c>
      <c r="J292">
        <v>88976</v>
      </c>
      <c r="K292">
        <v>0</v>
      </c>
      <c r="L292">
        <v>17</v>
      </c>
      <c r="M292" t="s">
        <v>217</v>
      </c>
      <c r="N292" t="s">
        <v>47</v>
      </c>
      <c r="O292">
        <v>2169</v>
      </c>
      <c r="P292" t="s">
        <v>1053</v>
      </c>
      <c r="Q292" t="s">
        <v>49</v>
      </c>
      <c r="R292" t="s">
        <v>90</v>
      </c>
      <c r="S292" t="s">
        <v>51</v>
      </c>
      <c r="T292" t="s">
        <v>52</v>
      </c>
      <c r="U292" t="s">
        <v>53</v>
      </c>
      <c r="V292" t="s">
        <v>1054</v>
      </c>
      <c r="Y292" t="s">
        <v>55</v>
      </c>
      <c r="Z292" t="s">
        <v>56</v>
      </c>
      <c r="AA292" t="s">
        <v>57</v>
      </c>
      <c r="AB292" t="s">
        <v>221</v>
      </c>
      <c r="AC292">
        <v>2</v>
      </c>
      <c r="AD292" t="s">
        <v>114</v>
      </c>
      <c r="AE292" t="s">
        <v>73</v>
      </c>
      <c r="AF292">
        <v>3.93</v>
      </c>
      <c r="AG292">
        <v>3</v>
      </c>
      <c r="AH292">
        <v>0</v>
      </c>
      <c r="AI292" t="s">
        <v>193</v>
      </c>
      <c r="AJ292">
        <v>0</v>
      </c>
      <c r="AK292">
        <v>19</v>
      </c>
    </row>
    <row r="293" spans="1:37">
      <c r="A293" t="s">
        <v>1055</v>
      </c>
      <c r="B293">
        <v>10253</v>
      </c>
      <c r="C293">
        <v>0</v>
      </c>
      <c r="D293">
        <v>0</v>
      </c>
      <c r="E293">
        <v>1</v>
      </c>
      <c r="F293">
        <v>1</v>
      </c>
      <c r="G293">
        <v>6</v>
      </c>
      <c r="H293">
        <v>3</v>
      </c>
      <c r="I293">
        <v>0</v>
      </c>
      <c r="J293">
        <v>55875</v>
      </c>
      <c r="K293">
        <v>0</v>
      </c>
      <c r="L293">
        <v>3</v>
      </c>
      <c r="M293" t="s">
        <v>242</v>
      </c>
      <c r="N293" t="s">
        <v>1056</v>
      </c>
      <c r="O293">
        <v>4063</v>
      </c>
      <c r="P293" t="s">
        <v>1057</v>
      </c>
      <c r="Q293" t="s">
        <v>49</v>
      </c>
      <c r="R293" t="s">
        <v>50</v>
      </c>
      <c r="S293" t="s">
        <v>51</v>
      </c>
      <c r="T293" t="s">
        <v>52</v>
      </c>
      <c r="U293" t="s">
        <v>182</v>
      </c>
      <c r="V293" t="s">
        <v>252</v>
      </c>
      <c r="Y293" t="s">
        <v>55</v>
      </c>
      <c r="Z293" t="s">
        <v>56</v>
      </c>
      <c r="AA293" t="s">
        <v>247</v>
      </c>
      <c r="AB293" t="s">
        <v>248</v>
      </c>
      <c r="AC293">
        <v>17</v>
      </c>
      <c r="AD293" t="s">
        <v>393</v>
      </c>
      <c r="AE293" t="s">
        <v>73</v>
      </c>
      <c r="AF293">
        <v>4.5</v>
      </c>
      <c r="AG293">
        <v>4</v>
      </c>
      <c r="AH293">
        <v>0</v>
      </c>
      <c r="AI293" t="s">
        <v>397</v>
      </c>
      <c r="AJ293">
        <v>0</v>
      </c>
      <c r="AK293">
        <v>11</v>
      </c>
    </row>
    <row r="294" spans="1:37">
      <c r="A294" t="s">
        <v>1058</v>
      </c>
      <c r="B294">
        <v>10118</v>
      </c>
      <c r="C294">
        <v>1</v>
      </c>
      <c r="D294">
        <v>1</v>
      </c>
      <c r="E294">
        <v>1</v>
      </c>
      <c r="F294">
        <v>4</v>
      </c>
      <c r="G294">
        <v>3</v>
      </c>
      <c r="H294">
        <v>3</v>
      </c>
      <c r="I294">
        <v>0</v>
      </c>
      <c r="J294">
        <v>113999</v>
      </c>
      <c r="K294">
        <v>1</v>
      </c>
      <c r="L294">
        <v>8</v>
      </c>
      <c r="M294" t="s">
        <v>174</v>
      </c>
      <c r="N294" t="s">
        <v>47</v>
      </c>
      <c r="O294">
        <v>1960</v>
      </c>
      <c r="P294" t="s">
        <v>1059</v>
      </c>
      <c r="Q294" t="s">
        <v>49</v>
      </c>
      <c r="R294" t="s">
        <v>65</v>
      </c>
      <c r="S294" t="s">
        <v>51</v>
      </c>
      <c r="T294" t="s">
        <v>52</v>
      </c>
      <c r="U294" t="s">
        <v>118</v>
      </c>
      <c r="V294" t="s">
        <v>213</v>
      </c>
      <c r="X294" t="s">
        <v>1060</v>
      </c>
      <c r="Y294" t="s">
        <v>436</v>
      </c>
      <c r="Z294" t="s">
        <v>163</v>
      </c>
      <c r="AA294" t="s">
        <v>70</v>
      </c>
      <c r="AB294" t="s">
        <v>71</v>
      </c>
      <c r="AC294">
        <v>4</v>
      </c>
      <c r="AD294" t="s">
        <v>114</v>
      </c>
      <c r="AE294" t="s">
        <v>73</v>
      </c>
      <c r="AF294">
        <v>4.33</v>
      </c>
      <c r="AG294">
        <v>3</v>
      </c>
      <c r="AH294">
        <v>7</v>
      </c>
      <c r="AI294" t="s">
        <v>385</v>
      </c>
      <c r="AJ294">
        <v>0</v>
      </c>
      <c r="AK294">
        <v>9</v>
      </c>
    </row>
    <row r="295" spans="1:37">
      <c r="A295" t="s">
        <v>1061</v>
      </c>
      <c r="B295">
        <v>10022</v>
      </c>
      <c r="C295">
        <v>1</v>
      </c>
      <c r="D295">
        <v>1</v>
      </c>
      <c r="E295">
        <v>0</v>
      </c>
      <c r="F295">
        <v>4</v>
      </c>
      <c r="G295">
        <v>5</v>
      </c>
      <c r="H295">
        <v>4</v>
      </c>
      <c r="I295">
        <v>0</v>
      </c>
      <c r="J295">
        <v>49773</v>
      </c>
      <c r="K295">
        <v>1</v>
      </c>
      <c r="L295">
        <v>19</v>
      </c>
      <c r="M295" t="s">
        <v>46</v>
      </c>
      <c r="N295" t="s">
        <v>47</v>
      </c>
      <c r="O295">
        <v>2747</v>
      </c>
      <c r="P295" t="s">
        <v>1062</v>
      </c>
      <c r="Q295" t="s">
        <v>78</v>
      </c>
      <c r="R295" t="s">
        <v>65</v>
      </c>
      <c r="S295" t="s">
        <v>51</v>
      </c>
      <c r="T295" t="s">
        <v>52</v>
      </c>
      <c r="U295" t="s">
        <v>53</v>
      </c>
      <c r="V295" t="s">
        <v>316</v>
      </c>
      <c r="X295" t="s">
        <v>1063</v>
      </c>
      <c r="Y295" t="s">
        <v>1064</v>
      </c>
      <c r="Z295" t="s">
        <v>163</v>
      </c>
      <c r="AA295" t="s">
        <v>57</v>
      </c>
      <c r="AB295" t="s">
        <v>151</v>
      </c>
      <c r="AC295">
        <v>18</v>
      </c>
      <c r="AD295" t="s">
        <v>95</v>
      </c>
      <c r="AE295" t="s">
        <v>60</v>
      </c>
      <c r="AF295">
        <v>4.3</v>
      </c>
      <c r="AG295">
        <v>5</v>
      </c>
      <c r="AH295">
        <v>0</v>
      </c>
      <c r="AI295" t="s">
        <v>1065</v>
      </c>
      <c r="AJ295">
        <v>0</v>
      </c>
      <c r="AK295">
        <v>18</v>
      </c>
    </row>
    <row r="296" spans="1:37">
      <c r="A296" t="s">
        <v>1066</v>
      </c>
      <c r="B296">
        <v>10183</v>
      </c>
      <c r="C296">
        <v>0</v>
      </c>
      <c r="D296">
        <v>0</v>
      </c>
      <c r="E296">
        <v>0</v>
      </c>
      <c r="F296">
        <v>2</v>
      </c>
      <c r="G296">
        <v>5</v>
      </c>
      <c r="H296">
        <v>3</v>
      </c>
      <c r="I296">
        <v>0</v>
      </c>
      <c r="J296">
        <v>62068</v>
      </c>
      <c r="K296">
        <v>0</v>
      </c>
      <c r="L296">
        <v>19</v>
      </c>
      <c r="M296" t="s">
        <v>46</v>
      </c>
      <c r="N296" t="s">
        <v>47</v>
      </c>
      <c r="O296">
        <v>2124</v>
      </c>
      <c r="P296" t="s">
        <v>1067</v>
      </c>
      <c r="Q296" t="s">
        <v>78</v>
      </c>
      <c r="R296" t="s">
        <v>50</v>
      </c>
      <c r="S296" t="s">
        <v>51</v>
      </c>
      <c r="T296" t="s">
        <v>52</v>
      </c>
      <c r="U296" t="s">
        <v>53</v>
      </c>
      <c r="V296" t="s">
        <v>1068</v>
      </c>
      <c r="Y296" t="s">
        <v>55</v>
      </c>
      <c r="Z296" t="s">
        <v>56</v>
      </c>
      <c r="AA296" t="s">
        <v>57</v>
      </c>
      <c r="AB296" t="s">
        <v>58</v>
      </c>
      <c r="AC296">
        <v>22</v>
      </c>
      <c r="AD296" t="s">
        <v>59</v>
      </c>
      <c r="AE296" t="s">
        <v>73</v>
      </c>
      <c r="AF296">
        <v>3.21</v>
      </c>
      <c r="AG296">
        <v>3</v>
      </c>
      <c r="AH296">
        <v>0</v>
      </c>
      <c r="AI296" t="s">
        <v>394</v>
      </c>
      <c r="AJ296">
        <v>0</v>
      </c>
      <c r="AK296">
        <v>7</v>
      </c>
    </row>
    <row r="297" spans="1:37">
      <c r="A297" t="s">
        <v>1069</v>
      </c>
      <c r="B297">
        <v>10190</v>
      </c>
      <c r="C297">
        <v>0</v>
      </c>
      <c r="D297">
        <v>0</v>
      </c>
      <c r="E297">
        <v>1</v>
      </c>
      <c r="F297">
        <v>1</v>
      </c>
      <c r="G297">
        <v>5</v>
      </c>
      <c r="H297">
        <v>3</v>
      </c>
      <c r="I297">
        <v>0</v>
      </c>
      <c r="J297">
        <v>66541</v>
      </c>
      <c r="K297">
        <v>0</v>
      </c>
      <c r="L297">
        <v>20</v>
      </c>
      <c r="M297" t="s">
        <v>76</v>
      </c>
      <c r="N297" t="s">
        <v>47</v>
      </c>
      <c r="O297">
        <v>2459</v>
      </c>
      <c r="P297" t="s">
        <v>1070</v>
      </c>
      <c r="Q297" t="s">
        <v>49</v>
      </c>
      <c r="R297" t="s">
        <v>50</v>
      </c>
      <c r="S297" t="s">
        <v>51</v>
      </c>
      <c r="T297" t="s">
        <v>52</v>
      </c>
      <c r="U297" t="s">
        <v>118</v>
      </c>
      <c r="V297" t="s">
        <v>276</v>
      </c>
      <c r="Y297" t="s">
        <v>55</v>
      </c>
      <c r="Z297" t="s">
        <v>56</v>
      </c>
      <c r="AA297" t="s">
        <v>57</v>
      </c>
      <c r="AB297" t="s">
        <v>113</v>
      </c>
      <c r="AC297">
        <v>19</v>
      </c>
      <c r="AD297" t="s">
        <v>114</v>
      </c>
      <c r="AE297" t="s">
        <v>73</v>
      </c>
      <c r="AF297">
        <v>3.11</v>
      </c>
      <c r="AG297">
        <v>5</v>
      </c>
      <c r="AH297">
        <v>0</v>
      </c>
      <c r="AI297" t="s">
        <v>279</v>
      </c>
      <c r="AJ297">
        <v>0</v>
      </c>
      <c r="AK297">
        <v>4</v>
      </c>
    </row>
    <row r="298" spans="1:37">
      <c r="A298" t="s">
        <v>1071</v>
      </c>
      <c r="B298">
        <v>10274</v>
      </c>
      <c r="C298">
        <v>1</v>
      </c>
      <c r="D298">
        <v>1</v>
      </c>
      <c r="E298">
        <v>0</v>
      </c>
      <c r="F298">
        <v>5</v>
      </c>
      <c r="G298">
        <v>5</v>
      </c>
      <c r="H298">
        <v>3</v>
      </c>
      <c r="I298">
        <v>1</v>
      </c>
      <c r="J298">
        <v>80512</v>
      </c>
      <c r="K298">
        <v>1</v>
      </c>
      <c r="L298">
        <v>18</v>
      </c>
      <c r="M298" t="s">
        <v>217</v>
      </c>
      <c r="N298" t="s">
        <v>47</v>
      </c>
      <c r="O298">
        <v>2478</v>
      </c>
      <c r="P298" t="s">
        <v>1072</v>
      </c>
      <c r="Q298" t="s">
        <v>78</v>
      </c>
      <c r="R298" t="s">
        <v>65</v>
      </c>
      <c r="S298" t="s">
        <v>51</v>
      </c>
      <c r="T298" t="s">
        <v>52</v>
      </c>
      <c r="U298" t="s">
        <v>118</v>
      </c>
      <c r="V298" t="s">
        <v>316</v>
      </c>
      <c r="X298" t="s">
        <v>1073</v>
      </c>
      <c r="Y298" t="s">
        <v>134</v>
      </c>
      <c r="Z298" t="s">
        <v>69</v>
      </c>
      <c r="AA298" t="s">
        <v>57</v>
      </c>
      <c r="AB298" t="s">
        <v>221</v>
      </c>
      <c r="AC298">
        <v>2</v>
      </c>
      <c r="AD298" t="s">
        <v>121</v>
      </c>
      <c r="AE298" t="s">
        <v>73</v>
      </c>
      <c r="AF298">
        <v>4.5</v>
      </c>
      <c r="AG298">
        <v>3</v>
      </c>
      <c r="AH298">
        <v>0</v>
      </c>
      <c r="AI298" t="s">
        <v>1073</v>
      </c>
      <c r="AJ298">
        <v>0</v>
      </c>
      <c r="AK298">
        <v>5</v>
      </c>
    </row>
    <row r="299" spans="1:37">
      <c r="A299" t="s">
        <v>1074</v>
      </c>
      <c r="B299">
        <v>10293</v>
      </c>
      <c r="C299">
        <v>0</v>
      </c>
      <c r="D299">
        <v>0</v>
      </c>
      <c r="E299">
        <v>0</v>
      </c>
      <c r="F299">
        <v>5</v>
      </c>
      <c r="G299">
        <v>5</v>
      </c>
      <c r="H299">
        <v>2</v>
      </c>
      <c r="I299">
        <v>0</v>
      </c>
      <c r="J299">
        <v>50274</v>
      </c>
      <c r="K299">
        <v>1</v>
      </c>
      <c r="L299">
        <v>19</v>
      </c>
      <c r="M299" t="s">
        <v>46</v>
      </c>
      <c r="N299" t="s">
        <v>47</v>
      </c>
      <c r="O299">
        <v>1887</v>
      </c>
      <c r="P299" t="s">
        <v>1075</v>
      </c>
      <c r="Q299" t="s">
        <v>78</v>
      </c>
      <c r="R299" t="s">
        <v>50</v>
      </c>
      <c r="S299" t="s">
        <v>51</v>
      </c>
      <c r="T299" t="s">
        <v>52</v>
      </c>
      <c r="U299" t="s">
        <v>53</v>
      </c>
      <c r="V299" t="s">
        <v>569</v>
      </c>
      <c r="X299" t="s">
        <v>1076</v>
      </c>
      <c r="Y299" t="s">
        <v>68</v>
      </c>
      <c r="Z299" t="s">
        <v>69</v>
      </c>
      <c r="AA299" t="s">
        <v>57</v>
      </c>
      <c r="AB299" t="s">
        <v>86</v>
      </c>
      <c r="AC299">
        <v>16</v>
      </c>
      <c r="AD299" t="s">
        <v>196</v>
      </c>
      <c r="AE299" t="s">
        <v>197</v>
      </c>
      <c r="AF299">
        <v>2.5</v>
      </c>
      <c r="AG299">
        <v>3</v>
      </c>
      <c r="AH299">
        <v>0</v>
      </c>
      <c r="AI299" t="s">
        <v>1077</v>
      </c>
      <c r="AJ299">
        <v>6</v>
      </c>
      <c r="AK299">
        <v>13</v>
      </c>
    </row>
    <row r="300" spans="1:37">
      <c r="A300" t="s">
        <v>1078</v>
      </c>
      <c r="B300">
        <v>10172</v>
      </c>
      <c r="C300">
        <v>0</v>
      </c>
      <c r="D300">
        <v>0</v>
      </c>
      <c r="E300">
        <v>1</v>
      </c>
      <c r="F300">
        <v>1</v>
      </c>
      <c r="G300">
        <v>3</v>
      </c>
      <c r="H300">
        <v>3</v>
      </c>
      <c r="I300">
        <v>0</v>
      </c>
      <c r="J300">
        <v>84903</v>
      </c>
      <c r="K300">
        <v>0</v>
      </c>
      <c r="L300">
        <v>22</v>
      </c>
      <c r="M300" t="s">
        <v>678</v>
      </c>
      <c r="N300" t="s">
        <v>47</v>
      </c>
      <c r="O300">
        <v>1887</v>
      </c>
      <c r="P300" t="s">
        <v>1079</v>
      </c>
      <c r="Q300" t="s">
        <v>49</v>
      </c>
      <c r="R300" t="s">
        <v>50</v>
      </c>
      <c r="S300" t="s">
        <v>51</v>
      </c>
      <c r="T300" t="s">
        <v>52</v>
      </c>
      <c r="U300" t="s">
        <v>182</v>
      </c>
      <c r="V300" t="s">
        <v>385</v>
      </c>
      <c r="Y300" t="s">
        <v>55</v>
      </c>
      <c r="Z300" t="s">
        <v>56</v>
      </c>
      <c r="AA300" t="s">
        <v>70</v>
      </c>
      <c r="AB300" t="s">
        <v>386</v>
      </c>
      <c r="AC300">
        <v>13</v>
      </c>
      <c r="AD300" t="s">
        <v>72</v>
      </c>
      <c r="AE300" t="s">
        <v>73</v>
      </c>
      <c r="AF300">
        <v>3.42</v>
      </c>
      <c r="AG300">
        <v>4</v>
      </c>
      <c r="AH300">
        <v>7</v>
      </c>
      <c r="AI300" t="s">
        <v>406</v>
      </c>
      <c r="AJ300">
        <v>0</v>
      </c>
      <c r="AK300">
        <v>17</v>
      </c>
    </row>
    <row r="301" spans="1:37">
      <c r="A301" t="s">
        <v>1080</v>
      </c>
      <c r="B301">
        <v>10127</v>
      </c>
      <c r="C301">
        <v>0</v>
      </c>
      <c r="D301">
        <v>4</v>
      </c>
      <c r="E301">
        <v>0</v>
      </c>
      <c r="F301">
        <v>1</v>
      </c>
      <c r="G301">
        <v>3</v>
      </c>
      <c r="H301">
        <v>3</v>
      </c>
      <c r="I301">
        <v>0</v>
      </c>
      <c r="J301">
        <v>107226</v>
      </c>
      <c r="K301">
        <v>0</v>
      </c>
      <c r="L301">
        <v>28</v>
      </c>
      <c r="M301" t="s">
        <v>345</v>
      </c>
      <c r="N301" t="s">
        <v>47</v>
      </c>
      <c r="O301">
        <v>2453</v>
      </c>
      <c r="P301" t="s">
        <v>1081</v>
      </c>
      <c r="Q301" t="s">
        <v>78</v>
      </c>
      <c r="R301" t="s">
        <v>111</v>
      </c>
      <c r="S301" t="s">
        <v>51</v>
      </c>
      <c r="T301" t="s">
        <v>52</v>
      </c>
      <c r="U301" t="s">
        <v>182</v>
      </c>
      <c r="V301" t="s">
        <v>66</v>
      </c>
      <c r="Y301" t="s">
        <v>55</v>
      </c>
      <c r="Z301" t="s">
        <v>56</v>
      </c>
      <c r="AA301" t="s">
        <v>70</v>
      </c>
      <c r="AB301" t="s">
        <v>127</v>
      </c>
      <c r="AC301">
        <v>7</v>
      </c>
      <c r="AD301" t="s">
        <v>114</v>
      </c>
      <c r="AE301" t="s">
        <v>73</v>
      </c>
      <c r="AF301">
        <v>4.2</v>
      </c>
      <c r="AG301">
        <v>4</v>
      </c>
      <c r="AH301">
        <v>8</v>
      </c>
      <c r="AI301" t="s">
        <v>1082</v>
      </c>
      <c r="AJ301">
        <v>0</v>
      </c>
      <c r="AK301">
        <v>7</v>
      </c>
    </row>
    <row r="302" spans="1:37">
      <c r="A302" t="s">
        <v>1083</v>
      </c>
      <c r="B302">
        <v>10072</v>
      </c>
      <c r="C302">
        <v>0</v>
      </c>
      <c r="D302">
        <v>0</v>
      </c>
      <c r="E302">
        <v>1</v>
      </c>
      <c r="F302">
        <v>5</v>
      </c>
      <c r="G302">
        <v>5</v>
      </c>
      <c r="H302">
        <v>3</v>
      </c>
      <c r="I302">
        <v>0</v>
      </c>
      <c r="J302">
        <v>58371</v>
      </c>
      <c r="K302">
        <v>1</v>
      </c>
      <c r="L302">
        <v>19</v>
      </c>
      <c r="M302" t="s">
        <v>46</v>
      </c>
      <c r="N302" t="s">
        <v>47</v>
      </c>
      <c r="O302">
        <v>2030</v>
      </c>
      <c r="P302" t="s">
        <v>1084</v>
      </c>
      <c r="Q302" t="s">
        <v>49</v>
      </c>
      <c r="R302" t="s">
        <v>50</v>
      </c>
      <c r="S302" t="s">
        <v>51</v>
      </c>
      <c r="T302" t="s">
        <v>131</v>
      </c>
      <c r="U302" t="s">
        <v>53</v>
      </c>
      <c r="V302" t="s">
        <v>132</v>
      </c>
      <c r="X302" t="s">
        <v>1085</v>
      </c>
      <c r="Y302" t="s">
        <v>80</v>
      </c>
      <c r="Z302" t="s">
        <v>69</v>
      </c>
      <c r="AA302" t="s">
        <v>57</v>
      </c>
      <c r="AB302" t="s">
        <v>94</v>
      </c>
      <c r="AC302">
        <v>39</v>
      </c>
      <c r="AD302" t="s">
        <v>59</v>
      </c>
      <c r="AE302" t="s">
        <v>73</v>
      </c>
      <c r="AF302">
        <v>5</v>
      </c>
      <c r="AG302">
        <v>5</v>
      </c>
      <c r="AH302">
        <v>0</v>
      </c>
      <c r="AI302" t="s">
        <v>1085</v>
      </c>
      <c r="AJ302">
        <v>0</v>
      </c>
      <c r="AK302">
        <v>11</v>
      </c>
    </row>
    <row r="303" spans="1:37">
      <c r="A303" t="s">
        <v>1086</v>
      </c>
      <c r="B303">
        <v>10048</v>
      </c>
      <c r="C303">
        <v>1</v>
      </c>
      <c r="D303">
        <v>1</v>
      </c>
      <c r="E303">
        <v>1</v>
      </c>
      <c r="F303">
        <v>5</v>
      </c>
      <c r="G303">
        <v>5</v>
      </c>
      <c r="H303">
        <v>3</v>
      </c>
      <c r="I303">
        <v>0</v>
      </c>
      <c r="J303">
        <v>55140</v>
      </c>
      <c r="K303">
        <v>1</v>
      </c>
      <c r="L303">
        <v>19</v>
      </c>
      <c r="M303" t="s">
        <v>46</v>
      </c>
      <c r="N303" t="s">
        <v>47</v>
      </c>
      <c r="O303">
        <v>2324</v>
      </c>
      <c r="P303" t="s">
        <v>346</v>
      </c>
      <c r="Q303" t="s">
        <v>49</v>
      </c>
      <c r="R303" t="s">
        <v>65</v>
      </c>
      <c r="S303" t="s">
        <v>171</v>
      </c>
      <c r="T303" t="s">
        <v>52</v>
      </c>
      <c r="U303" t="s">
        <v>53</v>
      </c>
      <c r="V303" t="s">
        <v>310</v>
      </c>
      <c r="X303" t="s">
        <v>818</v>
      </c>
      <c r="Y303" t="s">
        <v>141</v>
      </c>
      <c r="Z303" t="s">
        <v>69</v>
      </c>
      <c r="AA303" t="s">
        <v>57</v>
      </c>
      <c r="AB303" t="s">
        <v>100</v>
      </c>
      <c r="AC303">
        <v>11</v>
      </c>
      <c r="AD303" t="s">
        <v>393</v>
      </c>
      <c r="AE303" t="s">
        <v>73</v>
      </c>
      <c r="AF303">
        <v>5</v>
      </c>
      <c r="AG303">
        <v>3</v>
      </c>
      <c r="AH303">
        <v>0</v>
      </c>
      <c r="AI303" t="s">
        <v>665</v>
      </c>
      <c r="AJ303">
        <v>0</v>
      </c>
      <c r="AK303">
        <v>7</v>
      </c>
    </row>
    <row r="304" spans="1:37">
      <c r="A304" t="s">
        <v>1087</v>
      </c>
      <c r="B304">
        <v>10204</v>
      </c>
      <c r="C304">
        <v>0</v>
      </c>
      <c r="D304">
        <v>2</v>
      </c>
      <c r="E304">
        <v>0</v>
      </c>
      <c r="F304">
        <v>5</v>
      </c>
      <c r="G304">
        <v>5</v>
      </c>
      <c r="H304">
        <v>3</v>
      </c>
      <c r="I304">
        <v>0</v>
      </c>
      <c r="J304">
        <v>58062</v>
      </c>
      <c r="K304">
        <v>1</v>
      </c>
      <c r="L304">
        <v>19</v>
      </c>
      <c r="M304" t="s">
        <v>46</v>
      </c>
      <c r="N304" t="s">
        <v>47</v>
      </c>
      <c r="O304">
        <v>1876</v>
      </c>
      <c r="P304" t="s">
        <v>1088</v>
      </c>
      <c r="Q304" t="s">
        <v>78</v>
      </c>
      <c r="R304" t="s">
        <v>90</v>
      </c>
      <c r="S304" t="s">
        <v>51</v>
      </c>
      <c r="T304" t="s">
        <v>52</v>
      </c>
      <c r="U304" t="s">
        <v>53</v>
      </c>
      <c r="V304" t="s">
        <v>132</v>
      </c>
      <c r="X304" t="s">
        <v>291</v>
      </c>
      <c r="Y304" t="s">
        <v>134</v>
      </c>
      <c r="Z304" t="s">
        <v>69</v>
      </c>
      <c r="AA304" t="s">
        <v>57</v>
      </c>
      <c r="AB304" t="s">
        <v>113</v>
      </c>
      <c r="AC304">
        <v>19</v>
      </c>
      <c r="AD304" t="s">
        <v>95</v>
      </c>
      <c r="AE304" t="s">
        <v>73</v>
      </c>
      <c r="AF304">
        <v>3.6</v>
      </c>
      <c r="AG304">
        <v>5</v>
      </c>
      <c r="AH304">
        <v>0</v>
      </c>
      <c r="AI304" t="s">
        <v>1089</v>
      </c>
      <c r="AJ304">
        <v>0</v>
      </c>
      <c r="AK304">
        <v>9</v>
      </c>
    </row>
    <row r="305" spans="1:37">
      <c r="A305" t="s">
        <v>1090</v>
      </c>
      <c r="B305">
        <v>10264</v>
      </c>
      <c r="C305">
        <v>0</v>
      </c>
      <c r="D305">
        <v>0</v>
      </c>
      <c r="E305">
        <v>0</v>
      </c>
      <c r="F305">
        <v>5</v>
      </c>
      <c r="G305">
        <v>5</v>
      </c>
      <c r="H305">
        <v>3</v>
      </c>
      <c r="I305">
        <v>1</v>
      </c>
      <c r="J305">
        <v>59728</v>
      </c>
      <c r="K305">
        <v>1</v>
      </c>
      <c r="L305">
        <v>19</v>
      </c>
      <c r="M305" t="s">
        <v>46</v>
      </c>
      <c r="N305" t="s">
        <v>47</v>
      </c>
      <c r="O305">
        <v>2109</v>
      </c>
      <c r="P305" t="s">
        <v>1091</v>
      </c>
      <c r="Q305" t="s">
        <v>78</v>
      </c>
      <c r="R305" t="s">
        <v>50</v>
      </c>
      <c r="S305" t="s">
        <v>51</v>
      </c>
      <c r="T305" t="s">
        <v>131</v>
      </c>
      <c r="U305" t="s">
        <v>118</v>
      </c>
      <c r="V305" t="s">
        <v>99</v>
      </c>
      <c r="X305" t="s">
        <v>1092</v>
      </c>
      <c r="Y305" t="s">
        <v>298</v>
      </c>
      <c r="Z305" t="s">
        <v>69</v>
      </c>
      <c r="AA305" t="s">
        <v>57</v>
      </c>
      <c r="AB305" t="s">
        <v>113</v>
      </c>
      <c r="AC305">
        <v>19</v>
      </c>
      <c r="AD305" t="s">
        <v>121</v>
      </c>
      <c r="AE305" t="s">
        <v>73</v>
      </c>
      <c r="AF305">
        <v>4.3</v>
      </c>
      <c r="AG305">
        <v>4</v>
      </c>
      <c r="AH305">
        <v>0</v>
      </c>
      <c r="AI305" t="s">
        <v>1093</v>
      </c>
      <c r="AJ305">
        <v>0</v>
      </c>
      <c r="AK305">
        <v>16</v>
      </c>
    </row>
    <row r="306" spans="1:37">
      <c r="A306" t="s">
        <v>1094</v>
      </c>
      <c r="B306">
        <v>10033</v>
      </c>
      <c r="C306">
        <v>0</v>
      </c>
      <c r="D306">
        <v>0</v>
      </c>
      <c r="E306">
        <v>1</v>
      </c>
      <c r="F306">
        <v>5</v>
      </c>
      <c r="G306">
        <v>5</v>
      </c>
      <c r="H306">
        <v>4</v>
      </c>
      <c r="I306">
        <v>0</v>
      </c>
      <c r="J306">
        <v>70507</v>
      </c>
      <c r="K306">
        <v>1</v>
      </c>
      <c r="L306">
        <v>20</v>
      </c>
      <c r="M306" t="s">
        <v>76</v>
      </c>
      <c r="N306" t="s">
        <v>47</v>
      </c>
      <c r="O306">
        <v>2045</v>
      </c>
      <c r="P306" t="s">
        <v>1095</v>
      </c>
      <c r="Q306" t="s">
        <v>49</v>
      </c>
      <c r="R306" t="s">
        <v>50</v>
      </c>
      <c r="S306" t="s">
        <v>51</v>
      </c>
      <c r="T306" t="s">
        <v>52</v>
      </c>
      <c r="U306" t="s">
        <v>53</v>
      </c>
      <c r="V306" t="s">
        <v>311</v>
      </c>
      <c r="X306" t="s">
        <v>1096</v>
      </c>
      <c r="Y306" t="s">
        <v>220</v>
      </c>
      <c r="Z306" t="s">
        <v>69</v>
      </c>
      <c r="AA306" t="s">
        <v>57</v>
      </c>
      <c r="AB306" t="s">
        <v>120</v>
      </c>
      <c r="AC306">
        <v>12</v>
      </c>
      <c r="AD306" t="s">
        <v>59</v>
      </c>
      <c r="AE306" t="s">
        <v>60</v>
      </c>
      <c r="AF306">
        <v>5</v>
      </c>
      <c r="AG306">
        <v>3</v>
      </c>
      <c r="AH306">
        <v>0</v>
      </c>
      <c r="AI306" t="s">
        <v>1097</v>
      </c>
      <c r="AJ306">
        <v>0</v>
      </c>
      <c r="AK306">
        <v>7</v>
      </c>
    </row>
    <row r="307" spans="1:37">
      <c r="A307" t="s">
        <v>1098</v>
      </c>
      <c r="B307">
        <v>10174</v>
      </c>
      <c r="C307">
        <v>0</v>
      </c>
      <c r="D307">
        <v>0</v>
      </c>
      <c r="E307">
        <v>0</v>
      </c>
      <c r="F307">
        <v>1</v>
      </c>
      <c r="G307">
        <v>5</v>
      </c>
      <c r="H307">
        <v>3</v>
      </c>
      <c r="I307">
        <v>0</v>
      </c>
      <c r="J307">
        <v>60446</v>
      </c>
      <c r="K307">
        <v>0</v>
      </c>
      <c r="L307">
        <v>20</v>
      </c>
      <c r="M307" t="s">
        <v>76</v>
      </c>
      <c r="N307" t="s">
        <v>47</v>
      </c>
      <c r="O307">
        <v>2302</v>
      </c>
      <c r="P307" t="s">
        <v>1099</v>
      </c>
      <c r="Q307" t="s">
        <v>78</v>
      </c>
      <c r="R307" t="s">
        <v>50</v>
      </c>
      <c r="S307" t="s">
        <v>51</v>
      </c>
      <c r="T307" t="s">
        <v>52</v>
      </c>
      <c r="U307" t="s">
        <v>53</v>
      </c>
      <c r="V307" t="s">
        <v>234</v>
      </c>
      <c r="Y307" t="s">
        <v>55</v>
      </c>
      <c r="Z307" t="s">
        <v>56</v>
      </c>
      <c r="AA307" t="s">
        <v>57</v>
      </c>
      <c r="AB307" t="s">
        <v>135</v>
      </c>
      <c r="AC307">
        <v>14</v>
      </c>
      <c r="AD307" t="s">
        <v>59</v>
      </c>
      <c r="AE307" t="s">
        <v>73</v>
      </c>
      <c r="AF307">
        <v>3.4</v>
      </c>
      <c r="AG307">
        <v>4</v>
      </c>
      <c r="AH307">
        <v>0</v>
      </c>
      <c r="AI307" t="s">
        <v>253</v>
      </c>
      <c r="AJ307">
        <v>0</v>
      </c>
      <c r="AK307">
        <v>14</v>
      </c>
    </row>
    <row r="308" spans="1:37">
      <c r="A308" t="s">
        <v>1100</v>
      </c>
      <c r="B308">
        <v>10135</v>
      </c>
      <c r="C308">
        <v>0</v>
      </c>
      <c r="D308">
        <v>0</v>
      </c>
      <c r="E308">
        <v>1</v>
      </c>
      <c r="F308">
        <v>1</v>
      </c>
      <c r="G308">
        <v>5</v>
      </c>
      <c r="H308">
        <v>3</v>
      </c>
      <c r="I308">
        <v>0</v>
      </c>
      <c r="J308">
        <v>65893</v>
      </c>
      <c r="K308">
        <v>0</v>
      </c>
      <c r="L308">
        <v>20</v>
      </c>
      <c r="M308" t="s">
        <v>76</v>
      </c>
      <c r="N308" t="s">
        <v>47</v>
      </c>
      <c r="O308">
        <v>1810</v>
      </c>
      <c r="P308" t="s">
        <v>1101</v>
      </c>
      <c r="Q308" t="s">
        <v>49</v>
      </c>
      <c r="R308" t="s">
        <v>50</v>
      </c>
      <c r="S308" t="s">
        <v>51</v>
      </c>
      <c r="T308" t="s">
        <v>52</v>
      </c>
      <c r="U308" t="s">
        <v>53</v>
      </c>
      <c r="V308" t="s">
        <v>176</v>
      </c>
      <c r="Y308" t="s">
        <v>55</v>
      </c>
      <c r="Z308" t="s">
        <v>56</v>
      </c>
      <c r="AA308" t="s">
        <v>57</v>
      </c>
      <c r="AB308" t="s">
        <v>81</v>
      </c>
      <c r="AC308">
        <v>20</v>
      </c>
      <c r="AD308" t="s">
        <v>59</v>
      </c>
      <c r="AE308" t="s">
        <v>73</v>
      </c>
      <c r="AF308">
        <v>4.07</v>
      </c>
      <c r="AG308">
        <v>4</v>
      </c>
      <c r="AH308">
        <v>0</v>
      </c>
      <c r="AI308" t="s">
        <v>321</v>
      </c>
      <c r="AJ308">
        <v>0</v>
      </c>
      <c r="AK308">
        <v>13</v>
      </c>
    </row>
    <row r="309" spans="1:37">
      <c r="A309" t="s">
        <v>1102</v>
      </c>
      <c r="B309">
        <v>10301</v>
      </c>
      <c r="C309">
        <v>0</v>
      </c>
      <c r="D309">
        <v>0</v>
      </c>
      <c r="E309">
        <v>0</v>
      </c>
      <c r="F309">
        <v>5</v>
      </c>
      <c r="G309">
        <v>5</v>
      </c>
      <c r="H309">
        <v>1</v>
      </c>
      <c r="I309">
        <v>0</v>
      </c>
      <c r="J309">
        <v>48513</v>
      </c>
      <c r="K309">
        <v>1</v>
      </c>
      <c r="L309">
        <v>19</v>
      </c>
      <c r="M309" t="s">
        <v>46</v>
      </c>
      <c r="N309" t="s">
        <v>47</v>
      </c>
      <c r="O309">
        <v>2458</v>
      </c>
      <c r="P309" t="s">
        <v>1103</v>
      </c>
      <c r="Q309" t="s">
        <v>78</v>
      </c>
      <c r="R309" t="s">
        <v>50</v>
      </c>
      <c r="S309" t="s">
        <v>51</v>
      </c>
      <c r="T309" t="s">
        <v>52</v>
      </c>
      <c r="U309" t="s">
        <v>182</v>
      </c>
      <c r="V309" t="s">
        <v>1104</v>
      </c>
      <c r="X309" t="s">
        <v>1105</v>
      </c>
      <c r="Y309" t="s">
        <v>134</v>
      </c>
      <c r="Z309" t="s">
        <v>69</v>
      </c>
      <c r="AA309" t="s">
        <v>57</v>
      </c>
      <c r="AB309" t="s">
        <v>120</v>
      </c>
      <c r="AC309">
        <v>12</v>
      </c>
      <c r="AD309" t="s">
        <v>95</v>
      </c>
      <c r="AE309" t="s">
        <v>374</v>
      </c>
      <c r="AF309">
        <v>3.2</v>
      </c>
      <c r="AG309">
        <v>2</v>
      </c>
      <c r="AH309">
        <v>0</v>
      </c>
      <c r="AI309" t="s">
        <v>1106</v>
      </c>
      <c r="AJ309">
        <v>5</v>
      </c>
      <c r="AK309">
        <v>4</v>
      </c>
    </row>
    <row r="310" spans="1:37">
      <c r="A310" t="s">
        <v>1107</v>
      </c>
      <c r="B310">
        <v>10010</v>
      </c>
      <c r="C310">
        <v>0</v>
      </c>
      <c r="D310">
        <v>0</v>
      </c>
      <c r="E310">
        <v>0</v>
      </c>
      <c r="F310">
        <v>1</v>
      </c>
      <c r="G310">
        <v>3</v>
      </c>
      <c r="H310">
        <v>4</v>
      </c>
      <c r="I310">
        <v>0</v>
      </c>
      <c r="J310">
        <v>220450</v>
      </c>
      <c r="K310">
        <v>0</v>
      </c>
      <c r="L310">
        <v>6</v>
      </c>
      <c r="M310" t="s">
        <v>1108</v>
      </c>
      <c r="N310" t="s">
        <v>47</v>
      </c>
      <c r="O310">
        <v>2067</v>
      </c>
      <c r="P310" t="s">
        <v>1109</v>
      </c>
      <c r="Q310" t="s">
        <v>78</v>
      </c>
      <c r="R310" t="s">
        <v>50</v>
      </c>
      <c r="S310" t="s">
        <v>51</v>
      </c>
      <c r="T310" t="s">
        <v>52</v>
      </c>
      <c r="U310" t="s">
        <v>53</v>
      </c>
      <c r="V310" t="s">
        <v>1110</v>
      </c>
      <c r="Y310" t="s">
        <v>55</v>
      </c>
      <c r="Z310" t="s">
        <v>56</v>
      </c>
      <c r="AA310" t="s">
        <v>70</v>
      </c>
      <c r="AB310" t="s">
        <v>221</v>
      </c>
      <c r="AC310">
        <v>2</v>
      </c>
      <c r="AD310" t="s">
        <v>114</v>
      </c>
      <c r="AE310" t="s">
        <v>60</v>
      </c>
      <c r="AF310">
        <v>4.5999999999999996</v>
      </c>
      <c r="AG310">
        <v>5</v>
      </c>
      <c r="AH310">
        <v>6</v>
      </c>
      <c r="AI310" t="s">
        <v>253</v>
      </c>
      <c r="AJ310">
        <v>0</v>
      </c>
      <c r="AK310">
        <v>16</v>
      </c>
    </row>
    <row r="311" spans="1:37">
      <c r="A311" t="s">
        <v>1111</v>
      </c>
      <c r="B311">
        <v>10043</v>
      </c>
      <c r="C311">
        <v>0</v>
      </c>
      <c r="D311">
        <v>0</v>
      </c>
      <c r="E311">
        <v>0</v>
      </c>
      <c r="F311">
        <v>1</v>
      </c>
      <c r="G311">
        <v>3</v>
      </c>
      <c r="H311">
        <v>3</v>
      </c>
      <c r="I311">
        <v>0</v>
      </c>
      <c r="J311">
        <v>89292</v>
      </c>
      <c r="K311">
        <v>0</v>
      </c>
      <c r="L311">
        <v>9</v>
      </c>
      <c r="M311" t="s">
        <v>144</v>
      </c>
      <c r="N311" t="s">
        <v>47</v>
      </c>
      <c r="O311">
        <v>2148</v>
      </c>
      <c r="P311" t="s">
        <v>1112</v>
      </c>
      <c r="Q311" t="s">
        <v>78</v>
      </c>
      <c r="R311" t="s">
        <v>50</v>
      </c>
      <c r="S311" t="s">
        <v>51</v>
      </c>
      <c r="T311" t="s">
        <v>52</v>
      </c>
      <c r="U311" t="s">
        <v>53</v>
      </c>
      <c r="V311" t="s">
        <v>66</v>
      </c>
      <c r="Y311" t="s">
        <v>55</v>
      </c>
      <c r="Z311" t="s">
        <v>56</v>
      </c>
      <c r="AA311" t="s">
        <v>70</v>
      </c>
      <c r="AB311" t="s">
        <v>71</v>
      </c>
      <c r="AC311">
        <v>4</v>
      </c>
      <c r="AD311" t="s">
        <v>114</v>
      </c>
      <c r="AE311" t="s">
        <v>73</v>
      </c>
      <c r="AF311">
        <v>5</v>
      </c>
      <c r="AG311">
        <v>3</v>
      </c>
      <c r="AH311">
        <v>5</v>
      </c>
      <c r="AI311" t="s">
        <v>235</v>
      </c>
      <c r="AJ311">
        <v>0</v>
      </c>
      <c r="AK311">
        <v>11</v>
      </c>
    </row>
    <row r="312" spans="1:37">
      <c r="A312" t="s">
        <v>1113</v>
      </c>
      <c r="B312">
        <v>10271</v>
      </c>
      <c r="C312">
        <v>0</v>
      </c>
      <c r="D312">
        <v>4</v>
      </c>
      <c r="E312">
        <v>0</v>
      </c>
      <c r="F312">
        <v>1</v>
      </c>
      <c r="G312">
        <v>5</v>
      </c>
      <c r="H312">
        <v>3</v>
      </c>
      <c r="I312">
        <v>0</v>
      </c>
      <c r="J312">
        <v>45046</v>
      </c>
      <c r="K312">
        <v>0</v>
      </c>
      <c r="L312">
        <v>19</v>
      </c>
      <c r="M312" t="s">
        <v>46</v>
      </c>
      <c r="N312" t="s">
        <v>47</v>
      </c>
      <c r="O312">
        <v>1730</v>
      </c>
      <c r="P312" t="s">
        <v>1114</v>
      </c>
      <c r="Q312" t="s">
        <v>78</v>
      </c>
      <c r="R312" t="s">
        <v>111</v>
      </c>
      <c r="S312" t="s">
        <v>51</v>
      </c>
      <c r="T312" t="s">
        <v>52</v>
      </c>
      <c r="U312" t="s">
        <v>182</v>
      </c>
      <c r="V312" t="s">
        <v>234</v>
      </c>
      <c r="Y312" t="s">
        <v>55</v>
      </c>
      <c r="Z312" t="s">
        <v>56</v>
      </c>
      <c r="AA312" t="s">
        <v>57</v>
      </c>
      <c r="AB312" t="s">
        <v>135</v>
      </c>
      <c r="AC312">
        <v>14</v>
      </c>
      <c r="AD312" t="s">
        <v>59</v>
      </c>
      <c r="AE312" t="s">
        <v>73</v>
      </c>
      <c r="AF312">
        <v>4.5</v>
      </c>
      <c r="AG312">
        <v>5</v>
      </c>
      <c r="AH312">
        <v>0</v>
      </c>
      <c r="AI312" t="s">
        <v>266</v>
      </c>
      <c r="AJ312">
        <v>0</v>
      </c>
      <c r="AK312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2026-07-08T12:21:28Z</dcterms:created>
  <dcterms:modified xsi:type="dcterms:W3CDTF">2026-07-18T17:41:29Z</dcterms:modified>
  <cp:category/>
  <cp:contentStatus/>
</cp:coreProperties>
</file>